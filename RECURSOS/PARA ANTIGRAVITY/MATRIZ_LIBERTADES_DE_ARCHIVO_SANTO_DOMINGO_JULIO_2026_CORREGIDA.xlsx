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esktop\matriz vehiculos 2026 control 120\"/>
    </mc:Choice>
  </mc:AlternateContent>
  <xr:revisionPtr revIDLastSave="0" documentId="13_ncr:1_{CD41ABCA-AD1C-4285-BA79-143DB1159FE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VEHICULOS" sheetId="1" r:id="rId1"/>
    <sheet name="INVENTARIO CAJA 1" sheetId="2" r:id="rId2"/>
    <sheet name="CARATULA DE EXPEDIENTE" sheetId="3" r:id="rId3"/>
    <sheet name="ETIQUETA DE CAJA" sheetId="4" r:id="rId4"/>
    <sheet name="INDICE DE F.A" sheetId="5" r:id="rId5"/>
    <sheet name="DATOS" sheetId="6" r:id="rId6"/>
    <sheet name="MOTOCICLETAS" sheetId="7" r:id="rId7"/>
  </sheets>
  <definedNames>
    <definedName name="_xlnm._FilterDatabase" localSheetId="1" hidden="1">'INVENTARIO CAJA 1'!$A$6:$N$6</definedName>
    <definedName name="LISTA_TIPOS_VEHICULO">DATOS!$W$2:INDEX(DATOS!$W:$W,COUNTA(DATOS!$W:$W))</definedName>
    <definedName name="_xlnm.Print_Titles" localSheetId="1">'INVENTARIO CAJA 1'!$5:$6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8" i="2" l="1"/>
  <c r="F940" i="3" s="1"/>
  <c r="F68" i="2"/>
  <c r="C940" i="3" s="1"/>
  <c r="E68" i="2"/>
  <c r="C938" i="3" s="1"/>
  <c r="G67" i="2"/>
  <c r="F925" i="3" s="1"/>
  <c r="F67" i="2"/>
  <c r="C925" i="3" s="1"/>
  <c r="E67" i="2"/>
  <c r="C923" i="3" s="1"/>
  <c r="G66" i="2"/>
  <c r="F910" i="3" s="1"/>
  <c r="F66" i="2"/>
  <c r="C910" i="3" s="1"/>
  <c r="E66" i="2"/>
  <c r="C908" i="3" s="1"/>
  <c r="G65" i="2"/>
  <c r="F895" i="3" s="1"/>
  <c r="F65" i="2"/>
  <c r="C895" i="3" s="1"/>
  <c r="E65" i="2"/>
  <c r="C893" i="3" s="1"/>
  <c r="G64" i="2"/>
  <c r="F880" i="3" s="1"/>
  <c r="F64" i="2"/>
  <c r="C880" i="3" s="1"/>
  <c r="E64" i="2"/>
  <c r="C878" i="3" s="1"/>
  <c r="G63" i="2"/>
  <c r="F865" i="3" s="1"/>
  <c r="F63" i="2"/>
  <c r="C865" i="3" s="1"/>
  <c r="E63" i="2"/>
  <c r="C863" i="3" s="1"/>
  <c r="G62" i="2"/>
  <c r="F850" i="3" s="1"/>
  <c r="F62" i="2"/>
  <c r="C850" i="3" s="1"/>
  <c r="E62" i="2"/>
  <c r="C848" i="3" s="1"/>
  <c r="G61" i="2"/>
  <c r="F835" i="3" s="1"/>
  <c r="F61" i="2"/>
  <c r="C835" i="3" s="1"/>
  <c r="E61" i="2"/>
  <c r="C833" i="3" s="1"/>
  <c r="G60" i="2"/>
  <c r="F820" i="3" s="1"/>
  <c r="F60" i="2"/>
  <c r="C820" i="3" s="1"/>
  <c r="E60" i="2"/>
  <c r="C818" i="3" s="1"/>
  <c r="G59" i="2"/>
  <c r="F805" i="3" s="1"/>
  <c r="F59" i="2"/>
  <c r="C805" i="3" s="1"/>
  <c r="E59" i="2"/>
  <c r="C803" i="3" s="1"/>
  <c r="G58" i="2"/>
  <c r="F790" i="3" s="1"/>
  <c r="F58" i="2"/>
  <c r="C790" i="3" s="1"/>
  <c r="E58" i="2"/>
  <c r="C788" i="3" s="1"/>
  <c r="G57" i="2"/>
  <c r="F775" i="3" s="1"/>
  <c r="F57" i="2"/>
  <c r="C775" i="3" s="1"/>
  <c r="E57" i="2"/>
  <c r="C773" i="3" s="1"/>
  <c r="G56" i="2"/>
  <c r="F760" i="3" s="1"/>
  <c r="F56" i="2"/>
  <c r="C760" i="3" s="1"/>
  <c r="E56" i="2"/>
  <c r="C758" i="3" s="1"/>
  <c r="G55" i="2"/>
  <c r="F745" i="3" s="1"/>
  <c r="F55" i="2"/>
  <c r="C745" i="3" s="1"/>
  <c r="E55" i="2"/>
  <c r="C743" i="3" s="1"/>
  <c r="G54" i="2"/>
  <c r="F730" i="3" s="1"/>
  <c r="F54" i="2"/>
  <c r="C730" i="3" s="1"/>
  <c r="E54" i="2"/>
  <c r="C728" i="3" s="1"/>
  <c r="G53" i="2"/>
  <c r="F715" i="3" s="1"/>
  <c r="F53" i="2"/>
  <c r="C715" i="3" s="1"/>
  <c r="E53" i="2"/>
  <c r="C713" i="3" s="1"/>
  <c r="G52" i="2"/>
  <c r="F700" i="3" s="1"/>
  <c r="F52" i="2"/>
  <c r="C700" i="3" s="1"/>
  <c r="E52" i="2"/>
  <c r="C698" i="3" s="1"/>
  <c r="G51" i="2"/>
  <c r="F685" i="3" s="1"/>
  <c r="F51" i="2"/>
  <c r="C685" i="3" s="1"/>
  <c r="E51" i="2"/>
  <c r="C683" i="3" s="1"/>
  <c r="G50" i="2"/>
  <c r="F670" i="3" s="1"/>
  <c r="F50" i="2"/>
  <c r="C670" i="3" s="1"/>
  <c r="E50" i="2"/>
  <c r="C668" i="3" s="1"/>
  <c r="G49" i="2"/>
  <c r="F655" i="3" s="1"/>
  <c r="F49" i="2"/>
  <c r="C655" i="3" s="1"/>
  <c r="E49" i="2"/>
  <c r="C653" i="3" s="1"/>
  <c r="G48" i="2"/>
  <c r="F640" i="3" s="1"/>
  <c r="F48" i="2"/>
  <c r="C640" i="3" s="1"/>
  <c r="E48" i="2"/>
  <c r="C638" i="3" s="1"/>
  <c r="G47" i="2"/>
  <c r="F625" i="3" s="1"/>
  <c r="F47" i="2"/>
  <c r="C625" i="3" s="1"/>
  <c r="E47" i="2"/>
  <c r="C623" i="3" s="1"/>
  <c r="G46" i="2"/>
  <c r="F610" i="3" s="1"/>
  <c r="F46" i="2"/>
  <c r="C610" i="3" s="1"/>
  <c r="E46" i="2"/>
  <c r="C608" i="3" s="1"/>
  <c r="G45" i="2"/>
  <c r="F595" i="3" s="1"/>
  <c r="F45" i="2"/>
  <c r="C595" i="3" s="1"/>
  <c r="E45" i="2"/>
  <c r="C593" i="3" s="1"/>
  <c r="G44" i="2"/>
  <c r="F580" i="3" s="1"/>
  <c r="F44" i="2"/>
  <c r="C580" i="3" s="1"/>
  <c r="E44" i="2"/>
  <c r="C578" i="3" s="1"/>
  <c r="G43" i="2"/>
  <c r="F565" i="3" s="1"/>
  <c r="F43" i="2"/>
  <c r="C565" i="3" s="1"/>
  <c r="E43" i="2"/>
  <c r="C563" i="3" s="1"/>
  <c r="G42" i="2"/>
  <c r="F550" i="3" s="1"/>
  <c r="F42" i="2"/>
  <c r="C550" i="3" s="1"/>
  <c r="E42" i="2"/>
  <c r="C548" i="3" s="1"/>
  <c r="G41" i="2"/>
  <c r="F535" i="3" s="1"/>
  <c r="F41" i="2"/>
  <c r="C535" i="3" s="1"/>
  <c r="E41" i="2"/>
  <c r="C533" i="3" s="1"/>
  <c r="G40" i="2"/>
  <c r="F520" i="3" s="1"/>
  <c r="F40" i="2"/>
  <c r="C520" i="3" s="1"/>
  <c r="E40" i="2"/>
  <c r="C518" i="3" s="1"/>
  <c r="G39" i="2"/>
  <c r="F505" i="3" s="1"/>
  <c r="F39" i="2"/>
  <c r="C505" i="3" s="1"/>
  <c r="E39" i="2"/>
  <c r="C503" i="3" s="1"/>
  <c r="G38" i="2"/>
  <c r="F490" i="3" s="1"/>
  <c r="F38" i="2"/>
  <c r="C490" i="3" s="1"/>
  <c r="E38" i="2"/>
  <c r="C488" i="3" s="1"/>
  <c r="G37" i="2"/>
  <c r="F475" i="3" s="1"/>
  <c r="F37" i="2"/>
  <c r="C475" i="3" s="1"/>
  <c r="E37" i="2"/>
  <c r="C473" i="3" s="1"/>
  <c r="G36" i="2"/>
  <c r="F460" i="3" s="1"/>
  <c r="F36" i="2"/>
  <c r="C460" i="3" s="1"/>
  <c r="E36" i="2"/>
  <c r="C458" i="3" s="1"/>
  <c r="C36" i="2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G35" i="2"/>
  <c r="F35" i="2"/>
  <c r="E35" i="2"/>
  <c r="G34" i="2"/>
  <c r="F34" i="2"/>
  <c r="E34" i="2"/>
  <c r="G33" i="2"/>
  <c r="F33" i="2"/>
  <c r="E33" i="2"/>
  <c r="G32" i="2"/>
  <c r="F32" i="2"/>
  <c r="E32" i="2"/>
  <c r="G31" i="2"/>
  <c r="F31" i="2"/>
  <c r="E31" i="2"/>
  <c r="G30" i="2"/>
  <c r="F30" i="2"/>
  <c r="E30" i="2"/>
  <c r="G29" i="2"/>
  <c r="F29" i="2"/>
  <c r="E29" i="2"/>
  <c r="G28" i="2"/>
  <c r="F28" i="2"/>
  <c r="E28" i="2"/>
  <c r="G27" i="2"/>
  <c r="F27" i="2"/>
  <c r="E27" i="2"/>
  <c r="G26" i="2"/>
  <c r="F26" i="2"/>
  <c r="E26" i="2"/>
  <c r="G25" i="2"/>
  <c r="F25" i="2"/>
  <c r="E25" i="2"/>
  <c r="G24" i="2"/>
  <c r="F24" i="2"/>
  <c r="E24" i="2"/>
  <c r="G23" i="2"/>
  <c r="F23" i="2"/>
  <c r="E23" i="2"/>
  <c r="G22" i="2"/>
  <c r="F22" i="2"/>
  <c r="E22" i="2"/>
  <c r="G21" i="2"/>
  <c r="F21" i="2"/>
  <c r="E21" i="2"/>
  <c r="G20" i="2"/>
  <c r="F20" i="2"/>
  <c r="E20" i="2"/>
  <c r="G19" i="2"/>
  <c r="F19" i="2"/>
  <c r="E19" i="2"/>
  <c r="G18" i="2"/>
  <c r="F18" i="2"/>
  <c r="E18" i="2"/>
  <c r="G17" i="2"/>
  <c r="F17" i="2"/>
  <c r="E17" i="2"/>
  <c r="G16" i="2"/>
  <c r="F16" i="2"/>
  <c r="E16" i="2"/>
  <c r="G15" i="2"/>
  <c r="F15" i="2"/>
  <c r="E15" i="2"/>
  <c r="G14" i="2"/>
  <c r="F14" i="2"/>
  <c r="E14" i="2"/>
  <c r="G13" i="2"/>
  <c r="F13" i="2"/>
  <c r="E13" i="2"/>
  <c r="G12" i="2"/>
  <c r="F12" i="2"/>
  <c r="E12" i="2"/>
  <c r="G11" i="2"/>
  <c r="F11" i="2"/>
  <c r="E11" i="2"/>
  <c r="G10" i="2"/>
  <c r="F10" i="2"/>
  <c r="E10" i="2"/>
  <c r="G9" i="2"/>
  <c r="F9" i="2"/>
  <c r="E9" i="2"/>
  <c r="G8" i="2"/>
  <c r="F8" i="2"/>
  <c r="E8" i="2"/>
  <c r="G7" i="2"/>
  <c r="F7" i="2"/>
  <c r="E7" i="2"/>
  <c r="AF232" i="1"/>
  <c r="AC232" i="1"/>
  <c r="AF231" i="1"/>
  <c r="AC231" i="1"/>
  <c r="AF230" i="1"/>
  <c r="AC230" i="1"/>
  <c r="AF229" i="1"/>
  <c r="AC229" i="1"/>
  <c r="AF228" i="1"/>
  <c r="AC228" i="1"/>
  <c r="AF227" i="1"/>
  <c r="AC227" i="1"/>
  <c r="AF226" i="1"/>
  <c r="AC226" i="1"/>
  <c r="AF225" i="1"/>
  <c r="AC225" i="1"/>
  <c r="AK224" i="1"/>
  <c r="AF224" i="1"/>
  <c r="AC224" i="1"/>
  <c r="AK223" i="1"/>
  <c r="AF223" i="1"/>
  <c r="AC223" i="1"/>
  <c r="AS222" i="1"/>
  <c r="AK222" i="1"/>
  <c r="AF222" i="1"/>
  <c r="AC222" i="1"/>
  <c r="AS221" i="1"/>
  <c r="AK221" i="1"/>
  <c r="AF221" i="1"/>
  <c r="AC221" i="1"/>
  <c r="AS220" i="1"/>
  <c r="AK220" i="1"/>
  <c r="AF220" i="1"/>
  <c r="AC220" i="1"/>
  <c r="AS219" i="1"/>
  <c r="AK219" i="1"/>
  <c r="AF219" i="1"/>
  <c r="AC219" i="1"/>
  <c r="AS218" i="1"/>
  <c r="AK218" i="1"/>
  <c r="AF218" i="1"/>
  <c r="AC218" i="1"/>
  <c r="AS217" i="1"/>
  <c r="AK217" i="1"/>
  <c r="AF217" i="1"/>
  <c r="AC217" i="1"/>
  <c r="AS216" i="1"/>
  <c r="AK216" i="1"/>
  <c r="AF216" i="1"/>
  <c r="AC216" i="1"/>
  <c r="AS215" i="1"/>
  <c r="AK215" i="1"/>
  <c r="AF215" i="1"/>
  <c r="AC215" i="1"/>
  <c r="AS214" i="1"/>
  <c r="AK214" i="1"/>
  <c r="AF214" i="1"/>
  <c r="AC214" i="1"/>
  <c r="AS213" i="1"/>
  <c r="AK213" i="1"/>
  <c r="AF213" i="1"/>
  <c r="AC213" i="1"/>
  <c r="AS212" i="1"/>
  <c r="AK212" i="1"/>
  <c r="AF212" i="1"/>
  <c r="AC212" i="1"/>
  <c r="AS211" i="1"/>
  <c r="AK211" i="1"/>
  <c r="AF211" i="1"/>
  <c r="AC211" i="1"/>
  <c r="AS210" i="1"/>
  <c r="AK210" i="1"/>
  <c r="AF210" i="1"/>
  <c r="AC210" i="1"/>
  <c r="AS209" i="1"/>
  <c r="AK209" i="1"/>
  <c r="AF209" i="1"/>
  <c r="AC209" i="1"/>
  <c r="AS208" i="1"/>
  <c r="AK208" i="1"/>
  <c r="AF208" i="1"/>
  <c r="AC208" i="1"/>
  <c r="AS207" i="1"/>
  <c r="AK207" i="1"/>
  <c r="AF207" i="1"/>
  <c r="AC207" i="1"/>
  <c r="AS206" i="1"/>
  <c r="AK206" i="1"/>
  <c r="AF206" i="1"/>
  <c r="AC206" i="1"/>
  <c r="AS205" i="1"/>
  <c r="AK205" i="1"/>
  <c r="AF205" i="1"/>
  <c r="AC205" i="1"/>
  <c r="AE205" i="1" s="1"/>
  <c r="AS204" i="1"/>
  <c r="AK204" i="1"/>
  <c r="AF204" i="1"/>
  <c r="AC204" i="1"/>
  <c r="AE204" i="1" s="1"/>
  <c r="AS203" i="1"/>
  <c r="AK203" i="1"/>
  <c r="AF203" i="1"/>
  <c r="AC203" i="1"/>
  <c r="AE203" i="1" s="1"/>
  <c r="AS202" i="1"/>
  <c r="AK202" i="1"/>
  <c r="AF202" i="1"/>
  <c r="AC202" i="1"/>
  <c r="AE202" i="1" s="1"/>
  <c r="AS201" i="1"/>
  <c r="AK201" i="1"/>
  <c r="AF201" i="1"/>
  <c r="AC201" i="1"/>
  <c r="AE201" i="1" s="1"/>
  <c r="AS200" i="1"/>
  <c r="AK200" i="1"/>
  <c r="AF200" i="1"/>
  <c r="AC200" i="1"/>
  <c r="AE200" i="1" s="1"/>
  <c r="AS199" i="1"/>
  <c r="AK199" i="1"/>
  <c r="AF199" i="1"/>
  <c r="AC199" i="1"/>
  <c r="AE199" i="1" s="1"/>
  <c r="AS198" i="1"/>
  <c r="AK198" i="1"/>
  <c r="AF198" i="1"/>
  <c r="AC198" i="1"/>
  <c r="AE198" i="1" s="1"/>
  <c r="AS197" i="1"/>
  <c r="AK197" i="1"/>
  <c r="AF197" i="1"/>
  <c r="AC197" i="1"/>
  <c r="AE197" i="1" s="1"/>
  <c r="AS196" i="1"/>
  <c r="AK196" i="1"/>
  <c r="AF196" i="1"/>
  <c r="AC196" i="1"/>
  <c r="AE196" i="1" s="1"/>
  <c r="AR110" i="1"/>
  <c r="AK110" i="1"/>
  <c r="AJ110" i="1"/>
  <c r="AS110" i="1" s="1"/>
  <c r="AF110" i="1"/>
  <c r="AD110" i="1"/>
  <c r="AE110" i="1" s="1"/>
  <c r="AC110" i="1"/>
  <c r="Y110" i="1"/>
  <c r="AR109" i="1"/>
  <c r="AQ109" i="1"/>
  <c r="AK109" i="1"/>
  <c r="AJ109" i="1"/>
  <c r="AS109" i="1" s="1"/>
  <c r="AF109" i="1"/>
  <c r="AD109" i="1"/>
  <c r="AE109" i="1" s="1"/>
  <c r="AC109" i="1"/>
  <c r="Y109" i="1"/>
  <c r="AR108" i="1"/>
  <c r="AQ108" i="1"/>
  <c r="AK108" i="1"/>
  <c r="AJ108" i="1"/>
  <c r="AS108" i="1" s="1"/>
  <c r="AF108" i="1"/>
  <c r="AD108" i="1"/>
  <c r="AE108" i="1" s="1"/>
  <c r="AC108" i="1"/>
  <c r="Y108" i="1"/>
  <c r="AR107" i="1"/>
  <c r="AQ107" i="1"/>
  <c r="AK107" i="1"/>
  <c r="AJ107" i="1"/>
  <c r="AS107" i="1" s="1"/>
  <c r="AF107" i="1"/>
  <c r="AD107" i="1"/>
  <c r="AE107" i="1" s="1"/>
  <c r="AC107" i="1"/>
  <c r="Y107" i="1"/>
  <c r="AR106" i="1"/>
  <c r="AQ106" i="1"/>
  <c r="AK106" i="1"/>
  <c r="AJ106" i="1"/>
  <c r="AS106" i="1" s="1"/>
  <c r="AF106" i="1"/>
  <c r="AD106" i="1"/>
  <c r="AE106" i="1" s="1"/>
  <c r="AC106" i="1"/>
  <c r="Y106" i="1"/>
  <c r="AR105" i="1"/>
  <c r="AQ105" i="1"/>
  <c r="AK105" i="1"/>
  <c r="AJ105" i="1"/>
  <c r="AS105" i="1" s="1"/>
  <c r="AF105" i="1"/>
  <c r="AD105" i="1"/>
  <c r="AE105" i="1" s="1"/>
  <c r="AC105" i="1"/>
  <c r="Y105" i="1"/>
  <c r="AR104" i="1"/>
  <c r="AQ104" i="1"/>
  <c r="AK104" i="1"/>
  <c r="AJ104" i="1"/>
  <c r="AS104" i="1" s="1"/>
  <c r="AF104" i="1"/>
  <c r="AD104" i="1"/>
  <c r="AE104" i="1" s="1"/>
  <c r="AC104" i="1"/>
  <c r="Y104" i="1"/>
  <c r="AR103" i="1"/>
  <c r="AQ103" i="1"/>
  <c r="AK103" i="1"/>
  <c r="AJ103" i="1"/>
  <c r="AS103" i="1" s="1"/>
  <c r="AF103" i="1"/>
  <c r="AD103" i="1"/>
  <c r="AE103" i="1" s="1"/>
  <c r="AC103" i="1"/>
  <c r="Y103" i="1"/>
  <c r="AR102" i="1"/>
  <c r="AQ102" i="1"/>
  <c r="AK102" i="1"/>
  <c r="AJ102" i="1"/>
  <c r="AS102" i="1" s="1"/>
  <c r="AF102" i="1"/>
  <c r="AD102" i="1"/>
  <c r="AE102" i="1" s="1"/>
  <c r="AC102" i="1"/>
  <c r="Y102" i="1"/>
  <c r="AR101" i="1"/>
  <c r="AQ101" i="1"/>
  <c r="AK101" i="1"/>
  <c r="AJ101" i="1"/>
  <c r="AS101" i="1" s="1"/>
  <c r="AF101" i="1"/>
  <c r="AD101" i="1"/>
  <c r="AE101" i="1" s="1"/>
  <c r="AC101" i="1"/>
  <c r="Y101" i="1"/>
  <c r="AR100" i="1"/>
  <c r="AQ100" i="1"/>
  <c r="AK100" i="1"/>
  <c r="AJ100" i="1"/>
  <c r="AS100" i="1" s="1"/>
  <c r="AF100" i="1"/>
  <c r="AD100" i="1"/>
  <c r="AE100" i="1" s="1"/>
  <c r="AC100" i="1"/>
  <c r="Y100" i="1"/>
  <c r="AR99" i="1"/>
  <c r="AQ99" i="1"/>
  <c r="AK99" i="1"/>
  <c r="AJ99" i="1"/>
  <c r="AS99" i="1" s="1"/>
  <c r="AF99" i="1"/>
  <c r="AD99" i="1"/>
  <c r="AE99" i="1" s="1"/>
  <c r="AC99" i="1"/>
  <c r="Y99" i="1"/>
  <c r="AR98" i="1"/>
  <c r="AQ98" i="1"/>
  <c r="AK98" i="1"/>
  <c r="AJ98" i="1"/>
  <c r="AS98" i="1" s="1"/>
  <c r="AF98" i="1"/>
  <c r="AD98" i="1"/>
  <c r="AE98" i="1" s="1"/>
  <c r="AC98" i="1"/>
  <c r="Y98" i="1"/>
  <c r="AR97" i="1"/>
  <c r="AQ97" i="1"/>
  <c r="AK97" i="1"/>
  <c r="AJ97" i="1"/>
  <c r="AS97" i="1" s="1"/>
  <c r="AF97" i="1"/>
  <c r="AD97" i="1"/>
  <c r="AE97" i="1" s="1"/>
  <c r="AC97" i="1"/>
  <c r="Y97" i="1"/>
  <c r="AR96" i="1"/>
  <c r="AQ96" i="1"/>
  <c r="AK96" i="1"/>
  <c r="AJ96" i="1"/>
  <c r="AS96" i="1" s="1"/>
  <c r="AF96" i="1"/>
  <c r="AD96" i="1"/>
  <c r="AE96" i="1" s="1"/>
  <c r="AC96" i="1"/>
  <c r="Y96" i="1"/>
  <c r="AR95" i="1"/>
  <c r="AQ95" i="1"/>
  <c r="AK95" i="1"/>
  <c r="AJ95" i="1"/>
  <c r="AS95" i="1" s="1"/>
  <c r="AF95" i="1"/>
  <c r="AD95" i="1"/>
  <c r="AE95" i="1" s="1"/>
  <c r="AC95" i="1"/>
  <c r="Y95" i="1"/>
  <c r="AR94" i="1"/>
  <c r="AQ94" i="1"/>
  <c r="AK94" i="1"/>
  <c r="AJ94" i="1"/>
  <c r="AS94" i="1" s="1"/>
  <c r="AF94" i="1"/>
  <c r="AD94" i="1"/>
  <c r="AE94" i="1" s="1"/>
  <c r="AC94" i="1"/>
  <c r="Y94" i="1"/>
  <c r="AR93" i="1"/>
  <c r="AQ93" i="1"/>
  <c r="AK93" i="1"/>
  <c r="AJ93" i="1"/>
  <c r="AS93" i="1" s="1"/>
  <c r="AF93" i="1"/>
  <c r="AD93" i="1"/>
  <c r="AE93" i="1" s="1"/>
  <c r="AC93" i="1"/>
  <c r="Y93" i="1"/>
  <c r="AR92" i="1"/>
  <c r="AQ92" i="1"/>
  <c r="AK92" i="1"/>
  <c r="AJ92" i="1"/>
  <c r="AS92" i="1" s="1"/>
  <c r="AF92" i="1"/>
  <c r="AD92" i="1"/>
  <c r="AE92" i="1" s="1"/>
  <c r="AC92" i="1"/>
  <c r="Y92" i="1"/>
  <c r="AR91" i="1"/>
  <c r="AQ91" i="1"/>
  <c r="AK91" i="1"/>
  <c r="AJ91" i="1"/>
  <c r="AS91" i="1" s="1"/>
  <c r="AF91" i="1"/>
  <c r="AD91" i="1"/>
  <c r="AE91" i="1" s="1"/>
  <c r="AC91" i="1"/>
  <c r="Y91" i="1"/>
  <c r="AR90" i="1"/>
  <c r="AQ90" i="1"/>
  <c r="AK90" i="1"/>
  <c r="AJ90" i="1"/>
  <c r="AS90" i="1" s="1"/>
  <c r="AF90" i="1"/>
  <c r="AD90" i="1"/>
  <c r="AE90" i="1" s="1"/>
  <c r="AC90" i="1"/>
  <c r="Y90" i="1"/>
  <c r="AR89" i="1"/>
  <c r="AQ89" i="1"/>
  <c r="AK89" i="1"/>
  <c r="AJ89" i="1"/>
  <c r="AS89" i="1" s="1"/>
  <c r="AF89" i="1"/>
  <c r="AD89" i="1"/>
  <c r="AE89" i="1" s="1"/>
  <c r="AC89" i="1"/>
  <c r="Y89" i="1"/>
  <c r="AR88" i="1"/>
  <c r="AQ88" i="1"/>
  <c r="AK88" i="1"/>
  <c r="AJ88" i="1"/>
  <c r="AS88" i="1" s="1"/>
  <c r="AF88" i="1"/>
  <c r="AD88" i="1"/>
  <c r="AE88" i="1" s="1"/>
  <c r="AC88" i="1"/>
  <c r="Y88" i="1"/>
  <c r="AR87" i="1"/>
  <c r="AQ87" i="1"/>
  <c r="AK87" i="1"/>
  <c r="AJ87" i="1"/>
  <c r="AS87" i="1" s="1"/>
  <c r="AF87" i="1"/>
  <c r="AD87" i="1"/>
  <c r="AE87" i="1" s="1"/>
  <c r="AC87" i="1"/>
  <c r="Y87" i="1"/>
  <c r="AR86" i="1"/>
  <c r="AQ86" i="1"/>
  <c r="AK86" i="1"/>
  <c r="AJ86" i="1"/>
  <c r="AS86" i="1" s="1"/>
  <c r="AF86" i="1"/>
  <c r="AD86" i="1"/>
  <c r="AE86" i="1" s="1"/>
  <c r="AC86" i="1"/>
  <c r="Y86" i="1"/>
  <c r="AR85" i="1"/>
  <c r="AQ85" i="1"/>
  <c r="AK85" i="1"/>
  <c r="AJ85" i="1"/>
  <c r="AS85" i="1" s="1"/>
  <c r="AF85" i="1"/>
  <c r="AD85" i="1"/>
  <c r="AE85" i="1" s="1"/>
  <c r="AC85" i="1"/>
  <c r="Y85" i="1"/>
  <c r="AR84" i="1"/>
  <c r="AQ84" i="1"/>
  <c r="AK84" i="1"/>
  <c r="AJ84" i="1"/>
  <c r="AS84" i="1" s="1"/>
  <c r="AF84" i="1"/>
  <c r="AD84" i="1"/>
  <c r="AE84" i="1" s="1"/>
  <c r="AC84" i="1"/>
  <c r="Y84" i="1"/>
  <c r="AR83" i="1"/>
  <c r="AQ83" i="1"/>
  <c r="AK83" i="1"/>
  <c r="AJ83" i="1"/>
  <c r="AS83" i="1" s="1"/>
  <c r="AF83" i="1"/>
  <c r="AD83" i="1"/>
  <c r="AE83" i="1" s="1"/>
  <c r="AC83" i="1"/>
  <c r="Y83" i="1"/>
  <c r="AR82" i="1"/>
  <c r="AQ82" i="1"/>
  <c r="AK82" i="1"/>
  <c r="AJ82" i="1"/>
  <c r="AS82" i="1" s="1"/>
  <c r="AF82" i="1"/>
  <c r="AD82" i="1"/>
  <c r="AE82" i="1" s="1"/>
  <c r="AC82" i="1"/>
  <c r="Y82" i="1"/>
  <c r="AR81" i="1"/>
  <c r="AQ81" i="1"/>
  <c r="AK81" i="1"/>
  <c r="AJ81" i="1"/>
  <c r="AS81" i="1" s="1"/>
  <c r="AF81" i="1"/>
  <c r="AD81" i="1"/>
  <c r="AE81" i="1" s="1"/>
  <c r="AC81" i="1"/>
  <c r="Y81" i="1"/>
  <c r="AR80" i="1"/>
  <c r="AQ80" i="1"/>
  <c r="AK80" i="1"/>
  <c r="AJ80" i="1"/>
  <c r="AS80" i="1" s="1"/>
  <c r="AF80" i="1"/>
  <c r="AD80" i="1"/>
  <c r="AE80" i="1" s="1"/>
  <c r="AC80" i="1"/>
  <c r="Y80" i="1"/>
  <c r="AR79" i="1"/>
  <c r="AQ79" i="1"/>
  <c r="AK79" i="1"/>
  <c r="AJ79" i="1"/>
  <c r="AS79" i="1" s="1"/>
  <c r="AF79" i="1"/>
  <c r="AD79" i="1"/>
  <c r="AE79" i="1" s="1"/>
  <c r="AC79" i="1"/>
  <c r="Y79" i="1"/>
  <c r="AR78" i="1"/>
  <c r="AQ78" i="1"/>
  <c r="AK78" i="1"/>
  <c r="AJ78" i="1"/>
  <c r="AS78" i="1" s="1"/>
  <c r="AF78" i="1"/>
  <c r="AD78" i="1"/>
  <c r="AE78" i="1" s="1"/>
  <c r="AC78" i="1"/>
  <c r="Y78" i="1"/>
  <c r="AR77" i="1"/>
  <c r="AQ77" i="1"/>
  <c r="AK77" i="1"/>
  <c r="AJ77" i="1"/>
  <c r="AS77" i="1" s="1"/>
  <c r="AF77" i="1"/>
  <c r="AD77" i="1"/>
  <c r="AE77" i="1" s="1"/>
  <c r="AC77" i="1"/>
  <c r="Y77" i="1"/>
  <c r="AR76" i="1"/>
  <c r="AQ76" i="1"/>
  <c r="AK76" i="1"/>
  <c r="AJ76" i="1"/>
  <c r="AS76" i="1" s="1"/>
  <c r="AF76" i="1"/>
  <c r="AD76" i="1"/>
  <c r="AE76" i="1" s="1"/>
  <c r="AC76" i="1"/>
  <c r="Y76" i="1"/>
  <c r="AR75" i="1"/>
  <c r="AQ75" i="1"/>
  <c r="AK75" i="1"/>
  <c r="AJ75" i="1"/>
  <c r="AS75" i="1" s="1"/>
  <c r="AF75" i="1"/>
  <c r="AD75" i="1"/>
  <c r="AE75" i="1" s="1"/>
  <c r="AC75" i="1"/>
  <c r="Y75" i="1"/>
  <c r="AR74" i="1"/>
  <c r="AQ74" i="1"/>
  <c r="AK74" i="1"/>
  <c r="AJ74" i="1"/>
  <c r="AS74" i="1" s="1"/>
  <c r="AF74" i="1"/>
  <c r="AD74" i="1"/>
  <c r="AE74" i="1" s="1"/>
  <c r="AC74" i="1"/>
  <c r="Y74" i="1"/>
  <c r="AR73" i="1"/>
  <c r="AQ73" i="1"/>
  <c r="AK73" i="1"/>
  <c r="AJ73" i="1"/>
  <c r="AS73" i="1" s="1"/>
  <c r="AF73" i="1"/>
  <c r="AD73" i="1"/>
  <c r="AE73" i="1" s="1"/>
  <c r="AC73" i="1"/>
  <c r="Y73" i="1"/>
  <c r="AR72" i="1"/>
  <c r="AQ72" i="1"/>
  <c r="AK72" i="1"/>
  <c r="AJ72" i="1"/>
  <c r="AS72" i="1" s="1"/>
  <c r="AF72" i="1"/>
  <c r="AD72" i="1"/>
  <c r="AE72" i="1" s="1"/>
  <c r="AC72" i="1"/>
  <c r="Y72" i="1"/>
  <c r="AS71" i="1"/>
  <c r="AR71" i="1"/>
  <c r="AQ71" i="1"/>
  <c r="AK71" i="1"/>
  <c r="AJ71" i="1"/>
  <c r="AF71" i="1"/>
  <c r="AD71" i="1"/>
  <c r="AE71" i="1" s="1"/>
  <c r="AC71" i="1"/>
  <c r="Y71" i="1"/>
  <c r="AR70" i="1"/>
  <c r="AQ70" i="1"/>
  <c r="AK70" i="1"/>
  <c r="AJ70" i="1"/>
  <c r="AS70" i="1" s="1"/>
  <c r="AF70" i="1"/>
  <c r="AD70" i="1"/>
  <c r="AE70" i="1" s="1"/>
  <c r="AC70" i="1"/>
  <c r="Y70" i="1"/>
  <c r="AR69" i="1"/>
  <c r="AQ69" i="1"/>
  <c r="AK69" i="1"/>
  <c r="AJ69" i="1"/>
  <c r="AS69" i="1" s="1"/>
  <c r="AF69" i="1"/>
  <c r="AD69" i="1"/>
  <c r="AE69" i="1" s="1"/>
  <c r="AC69" i="1"/>
  <c r="Y69" i="1"/>
  <c r="AR68" i="1"/>
  <c r="AQ68" i="1"/>
  <c r="AK68" i="1"/>
  <c r="AJ68" i="1"/>
  <c r="AS68" i="1" s="1"/>
  <c r="AF68" i="1"/>
  <c r="AD68" i="1"/>
  <c r="AE68" i="1" s="1"/>
  <c r="AC68" i="1"/>
  <c r="Y68" i="1"/>
  <c r="AR67" i="1"/>
  <c r="AQ67" i="1"/>
  <c r="AK67" i="1"/>
  <c r="AJ67" i="1"/>
  <c r="AS67" i="1" s="1"/>
  <c r="AF67" i="1"/>
  <c r="AD67" i="1"/>
  <c r="AE67" i="1" s="1"/>
  <c r="AC67" i="1"/>
  <c r="Y67" i="1"/>
  <c r="AR66" i="1"/>
  <c r="AQ66" i="1"/>
  <c r="AK66" i="1"/>
  <c r="AJ66" i="1"/>
  <c r="AS66" i="1" s="1"/>
  <c r="AF66" i="1"/>
  <c r="AD66" i="1"/>
  <c r="AE66" i="1" s="1"/>
  <c r="AC66" i="1"/>
  <c r="Y66" i="1"/>
  <c r="AR65" i="1"/>
  <c r="AQ65" i="1"/>
  <c r="AK65" i="1"/>
  <c r="AJ65" i="1"/>
  <c r="AS65" i="1" s="1"/>
  <c r="AF65" i="1"/>
  <c r="AD65" i="1"/>
  <c r="AE65" i="1" s="1"/>
  <c r="AC65" i="1"/>
  <c r="Y65" i="1"/>
  <c r="AR64" i="1"/>
  <c r="AQ64" i="1"/>
  <c r="AK64" i="1"/>
  <c r="AJ64" i="1"/>
  <c r="AS64" i="1" s="1"/>
  <c r="AF64" i="1"/>
  <c r="AD64" i="1"/>
  <c r="AE64" i="1" s="1"/>
  <c r="AC64" i="1"/>
  <c r="AR63" i="1"/>
  <c r="AQ63" i="1"/>
  <c r="AK63" i="1"/>
  <c r="AJ63" i="1"/>
  <c r="AS63" i="1" s="1"/>
  <c r="AF63" i="1"/>
  <c r="AD63" i="1"/>
  <c r="AE63" i="1" s="1"/>
  <c r="AC63" i="1"/>
  <c r="Y63" i="1"/>
  <c r="AR62" i="1"/>
  <c r="AQ62" i="1"/>
  <c r="AK62" i="1"/>
  <c r="AJ62" i="1"/>
  <c r="AS62" i="1" s="1"/>
  <c r="AF62" i="1"/>
  <c r="AD62" i="1"/>
  <c r="AE62" i="1" s="1"/>
  <c r="AC62" i="1"/>
  <c r="Y62" i="1"/>
  <c r="AR61" i="1"/>
  <c r="AQ61" i="1"/>
  <c r="AK61" i="1"/>
  <c r="AJ61" i="1"/>
  <c r="AS61" i="1" s="1"/>
  <c r="AF61" i="1"/>
  <c r="AD61" i="1"/>
  <c r="AE61" i="1" s="1"/>
  <c r="AC61" i="1"/>
  <c r="Y61" i="1"/>
  <c r="AR60" i="1"/>
  <c r="AQ60" i="1"/>
  <c r="AK60" i="1"/>
  <c r="AJ60" i="1"/>
  <c r="AS60" i="1" s="1"/>
  <c r="AF60" i="1"/>
  <c r="AD60" i="1"/>
  <c r="AE60" i="1" s="1"/>
  <c r="AC60" i="1"/>
  <c r="AR59" i="1"/>
  <c r="AQ59" i="1"/>
  <c r="AK59" i="1"/>
  <c r="AJ59" i="1"/>
  <c r="AS59" i="1" s="1"/>
  <c r="AF59" i="1"/>
  <c r="AD59" i="1"/>
  <c r="AE59" i="1" s="1"/>
  <c r="AC59" i="1"/>
  <c r="Y59" i="1"/>
  <c r="AR58" i="1"/>
  <c r="AQ58" i="1"/>
  <c r="AK58" i="1"/>
  <c r="AJ58" i="1"/>
  <c r="AS58" i="1" s="1"/>
  <c r="AF58" i="1"/>
  <c r="AD58" i="1"/>
  <c r="AE58" i="1" s="1"/>
  <c r="AC58" i="1"/>
  <c r="Y58" i="1"/>
  <c r="AR57" i="1"/>
  <c r="AQ57" i="1"/>
  <c r="AK57" i="1"/>
  <c r="AJ57" i="1"/>
  <c r="AS57" i="1" s="1"/>
  <c r="AF57" i="1"/>
  <c r="AD57" i="1"/>
  <c r="AE57" i="1" s="1"/>
  <c r="AC57" i="1"/>
  <c r="Y57" i="1"/>
  <c r="AR56" i="1"/>
  <c r="AQ56" i="1"/>
  <c r="AK56" i="1"/>
  <c r="AJ56" i="1"/>
  <c r="AS56" i="1" s="1"/>
  <c r="AF56" i="1"/>
  <c r="AD56" i="1"/>
  <c r="AE56" i="1" s="1"/>
  <c r="AC56" i="1"/>
  <c r="AR55" i="1"/>
  <c r="AQ55" i="1"/>
  <c r="AK55" i="1"/>
  <c r="AJ55" i="1"/>
  <c r="AS55" i="1" s="1"/>
  <c r="AF55" i="1"/>
  <c r="AD55" i="1"/>
  <c r="AE55" i="1" s="1"/>
  <c r="AC55" i="1"/>
  <c r="Y55" i="1"/>
  <c r="AR54" i="1"/>
  <c r="AQ54" i="1"/>
  <c r="AK54" i="1"/>
  <c r="AJ54" i="1"/>
  <c r="AS54" i="1" s="1"/>
  <c r="AF54" i="1"/>
  <c r="AD54" i="1"/>
  <c r="AE54" i="1" s="1"/>
  <c r="AC54" i="1"/>
  <c r="Y54" i="1"/>
  <c r="AQ53" i="1"/>
  <c r="AK53" i="1"/>
  <c r="AJ53" i="1"/>
  <c r="AS53" i="1" s="1"/>
  <c r="AF53" i="1"/>
  <c r="AD53" i="1"/>
  <c r="AE53" i="1" s="1"/>
  <c r="AC53" i="1"/>
  <c r="Y53" i="1"/>
  <c r="AR52" i="1"/>
  <c r="AQ52" i="1"/>
  <c r="AK52" i="1"/>
  <c r="AJ52" i="1"/>
  <c r="AS52" i="1" s="1"/>
  <c r="AF52" i="1"/>
  <c r="AD52" i="1"/>
  <c r="AE52" i="1" s="1"/>
  <c r="AC52" i="1"/>
  <c r="Y52" i="1"/>
  <c r="AR51" i="1"/>
  <c r="AQ51" i="1"/>
  <c r="AK51" i="1"/>
  <c r="AJ51" i="1"/>
  <c r="AS51" i="1" s="1"/>
  <c r="AF51" i="1"/>
  <c r="AD51" i="1"/>
  <c r="AE51" i="1" s="1"/>
  <c r="AC51" i="1"/>
  <c r="AR50" i="1"/>
  <c r="AQ50" i="1"/>
  <c r="AK50" i="1"/>
  <c r="AJ50" i="1"/>
  <c r="AS50" i="1" s="1"/>
  <c r="AF50" i="1"/>
  <c r="AC50" i="1"/>
  <c r="AE50" i="1" s="1"/>
  <c r="AR49" i="1"/>
  <c r="AQ49" i="1"/>
  <c r="AK49" i="1"/>
  <c r="AJ49" i="1"/>
  <c r="AS49" i="1" s="1"/>
  <c r="AF49" i="1"/>
  <c r="AD49" i="1"/>
  <c r="AE49" i="1" s="1"/>
  <c r="AC49" i="1"/>
  <c r="AR48" i="1"/>
  <c r="AQ48" i="1"/>
  <c r="AK48" i="1"/>
  <c r="AJ48" i="1"/>
  <c r="AS48" i="1" s="1"/>
  <c r="AD48" i="1"/>
  <c r="AE48" i="1" s="1"/>
  <c r="AC48" i="1"/>
  <c r="AR47" i="1"/>
  <c r="AQ47" i="1"/>
  <c r="AK47" i="1"/>
  <c r="AJ47" i="1"/>
  <c r="AS47" i="1" s="1"/>
  <c r="AF47" i="1"/>
  <c r="AD47" i="1"/>
  <c r="AE47" i="1" s="1"/>
  <c r="AC47" i="1"/>
  <c r="AR46" i="1"/>
  <c r="AQ46" i="1"/>
  <c r="AK46" i="1"/>
  <c r="AJ46" i="1"/>
  <c r="AS46" i="1" s="1"/>
  <c r="AF46" i="1"/>
  <c r="AC46" i="1"/>
  <c r="AE46" i="1" s="1"/>
  <c r="AR45" i="1"/>
  <c r="AQ45" i="1"/>
  <c r="AK45" i="1"/>
  <c r="AJ45" i="1"/>
  <c r="AS45" i="1" s="1"/>
  <c r="AF45" i="1"/>
  <c r="AC45" i="1"/>
  <c r="AE45" i="1" s="1"/>
  <c r="AR44" i="1"/>
  <c r="AQ44" i="1"/>
  <c r="AK44" i="1"/>
  <c r="AJ44" i="1"/>
  <c r="AS44" i="1" s="1"/>
  <c r="AF44" i="1"/>
  <c r="AD44" i="1"/>
  <c r="AE44" i="1" s="1"/>
  <c r="AC44" i="1"/>
  <c r="Y44" i="1"/>
  <c r="AR43" i="1"/>
  <c r="AQ43" i="1"/>
  <c r="AK43" i="1"/>
  <c r="AJ43" i="1"/>
  <c r="AS43" i="1" s="1"/>
  <c r="AF43" i="1"/>
  <c r="AD43" i="1"/>
  <c r="AE43" i="1" s="1"/>
  <c r="AC43" i="1"/>
  <c r="AR42" i="1"/>
  <c r="AQ42" i="1"/>
  <c r="AK42" i="1"/>
  <c r="AJ42" i="1"/>
  <c r="AS42" i="1" s="1"/>
  <c r="AF42" i="1"/>
  <c r="AD42" i="1"/>
  <c r="AE42" i="1" s="1"/>
  <c r="AC42" i="1"/>
  <c r="AR41" i="1"/>
  <c r="AQ41" i="1"/>
  <c r="AK41" i="1"/>
  <c r="AJ41" i="1"/>
  <c r="AS41" i="1" s="1"/>
  <c r="AF41" i="1"/>
  <c r="AC41" i="1"/>
  <c r="AE41" i="1" s="1"/>
  <c r="AR40" i="1"/>
  <c r="AK40" i="1"/>
  <c r="AJ40" i="1"/>
  <c r="AS40" i="1" s="1"/>
  <c r="AF40" i="1"/>
  <c r="AC40" i="1"/>
  <c r="AE40" i="1" s="1"/>
  <c r="Y40" i="1"/>
  <c r="AR39" i="1"/>
  <c r="AQ39" i="1"/>
  <c r="AK39" i="1"/>
  <c r="AJ39" i="1"/>
  <c r="AS39" i="1" s="1"/>
  <c r="AF39" i="1"/>
  <c r="AD39" i="1"/>
  <c r="AE39" i="1" s="1"/>
  <c r="AC39" i="1"/>
  <c r="AR38" i="1"/>
  <c r="AQ38" i="1"/>
  <c r="AK38" i="1"/>
  <c r="AJ38" i="1"/>
  <c r="AS38" i="1" s="1"/>
  <c r="AF38" i="1"/>
  <c r="AC38" i="1"/>
  <c r="AE38" i="1" s="1"/>
  <c r="AR37" i="1"/>
  <c r="AQ37" i="1"/>
  <c r="AK37" i="1"/>
  <c r="AJ37" i="1"/>
  <c r="AS37" i="1" s="1"/>
  <c r="AF37" i="1"/>
  <c r="AD37" i="1"/>
  <c r="AE37" i="1" s="1"/>
  <c r="AC37" i="1"/>
  <c r="AR36" i="1"/>
  <c r="AQ36" i="1"/>
  <c r="AK36" i="1"/>
  <c r="AJ36" i="1"/>
  <c r="AS36" i="1" s="1"/>
  <c r="AF36" i="1"/>
  <c r="AD36" i="1"/>
  <c r="AE36" i="1" s="1"/>
  <c r="AC36" i="1"/>
  <c r="AR35" i="1"/>
  <c r="AQ35" i="1"/>
  <c r="AK35" i="1"/>
  <c r="AJ35" i="1"/>
  <c r="AS35" i="1" s="1"/>
  <c r="AF35" i="1"/>
  <c r="AC35" i="1"/>
  <c r="AE35" i="1" s="1"/>
  <c r="AR34" i="1"/>
  <c r="AQ34" i="1"/>
  <c r="AK34" i="1"/>
  <c r="AJ34" i="1"/>
  <c r="AS34" i="1" s="1"/>
  <c r="AF34" i="1"/>
  <c r="AC34" i="1"/>
  <c r="AE34" i="1" s="1"/>
  <c r="AR33" i="1"/>
  <c r="AQ33" i="1"/>
  <c r="AK33" i="1"/>
  <c r="AJ33" i="1"/>
  <c r="AS33" i="1" s="1"/>
  <c r="AF33" i="1"/>
  <c r="AD33" i="1"/>
  <c r="AE33" i="1" s="1"/>
  <c r="AC33" i="1"/>
  <c r="Y33" i="1"/>
  <c r="AR32" i="1"/>
  <c r="AQ32" i="1"/>
  <c r="AK32" i="1"/>
  <c r="AJ32" i="1"/>
  <c r="AS32" i="1" s="1"/>
  <c r="AF32" i="1"/>
  <c r="AC32" i="1"/>
  <c r="AE32" i="1" s="1"/>
  <c r="Y32" i="1"/>
  <c r="AR31" i="1"/>
  <c r="AQ31" i="1"/>
  <c r="AK31" i="1"/>
  <c r="AJ31" i="1"/>
  <c r="AS31" i="1" s="1"/>
  <c r="AF31" i="1"/>
  <c r="AD31" i="1"/>
  <c r="AE31" i="1" s="1"/>
  <c r="AC31" i="1"/>
  <c r="Y31" i="1"/>
  <c r="AS30" i="1"/>
  <c r="AR30" i="1"/>
  <c r="AQ30" i="1"/>
  <c r="AK30" i="1"/>
  <c r="AJ30" i="1"/>
  <c r="AF30" i="1"/>
  <c r="AD30" i="1"/>
  <c r="AE30" i="1" s="1"/>
  <c r="AC30" i="1"/>
  <c r="Y30" i="1"/>
  <c r="AR29" i="1"/>
  <c r="AQ29" i="1"/>
  <c r="AK29" i="1"/>
  <c r="AJ29" i="1"/>
  <c r="AS29" i="1" s="1"/>
  <c r="AF29" i="1"/>
  <c r="AD29" i="1"/>
  <c r="AE29" i="1" s="1"/>
  <c r="AC29" i="1"/>
  <c r="Y29" i="1"/>
  <c r="AR28" i="1"/>
  <c r="AQ28" i="1"/>
  <c r="AK28" i="1"/>
  <c r="AJ28" i="1"/>
  <c r="AS28" i="1" s="1"/>
  <c r="AF28" i="1"/>
  <c r="AD28" i="1"/>
  <c r="AE28" i="1" s="1"/>
  <c r="AC28" i="1"/>
  <c r="Y28" i="1"/>
  <c r="AR27" i="1"/>
  <c r="AQ27" i="1"/>
  <c r="AK27" i="1"/>
  <c r="AJ27" i="1"/>
  <c r="AS27" i="1" s="1"/>
  <c r="AF27" i="1"/>
  <c r="AD27" i="1"/>
  <c r="AE27" i="1" s="1"/>
  <c r="AC27" i="1"/>
  <c r="Y27" i="1"/>
  <c r="AR26" i="1"/>
  <c r="AQ26" i="1"/>
  <c r="AK26" i="1"/>
  <c r="AJ26" i="1"/>
  <c r="AS26" i="1" s="1"/>
  <c r="AF26" i="1"/>
  <c r="AD26" i="1"/>
  <c r="AE26" i="1" s="1"/>
  <c r="AC26" i="1"/>
  <c r="Y26" i="1"/>
  <c r="AR25" i="1"/>
  <c r="AQ25" i="1"/>
  <c r="AK25" i="1"/>
  <c r="AJ25" i="1"/>
  <c r="AS25" i="1" s="1"/>
  <c r="AF25" i="1"/>
  <c r="AD25" i="1"/>
  <c r="AE25" i="1" s="1"/>
  <c r="AC25" i="1"/>
  <c r="Y25" i="1"/>
  <c r="AR24" i="1"/>
  <c r="AQ24" i="1"/>
  <c r="AK24" i="1"/>
  <c r="AJ24" i="1"/>
  <c r="AS24" i="1" s="1"/>
  <c r="AF24" i="1"/>
  <c r="AD24" i="1"/>
  <c r="AE24" i="1" s="1"/>
  <c r="AC24" i="1"/>
  <c r="AR23" i="1"/>
  <c r="AQ23" i="1"/>
  <c r="AK23" i="1"/>
  <c r="AJ23" i="1"/>
  <c r="AS23" i="1" s="1"/>
  <c r="AF23" i="1"/>
  <c r="AD23" i="1"/>
  <c r="AE23" i="1" s="1"/>
  <c r="AC23" i="1"/>
  <c r="Y23" i="1"/>
  <c r="AR22" i="1"/>
  <c r="AQ22" i="1"/>
  <c r="AK22" i="1"/>
  <c r="AJ22" i="1"/>
  <c r="AS22" i="1" s="1"/>
  <c r="AF22" i="1"/>
  <c r="AD22" i="1"/>
  <c r="AE22" i="1" s="1"/>
  <c r="AC22" i="1"/>
  <c r="Y22" i="1"/>
  <c r="AR21" i="1"/>
  <c r="AQ21" i="1"/>
  <c r="AK21" i="1"/>
  <c r="AJ21" i="1"/>
  <c r="AS21" i="1" s="1"/>
  <c r="AF21" i="1"/>
  <c r="AD21" i="1"/>
  <c r="AE21" i="1" s="1"/>
  <c r="AC21" i="1"/>
  <c r="Y21" i="1"/>
  <c r="AR20" i="1"/>
  <c r="AQ20" i="1"/>
  <c r="AK20" i="1"/>
  <c r="AJ20" i="1"/>
  <c r="AS20" i="1" s="1"/>
  <c r="AF20" i="1"/>
  <c r="AD20" i="1"/>
  <c r="AE20" i="1" s="1"/>
  <c r="AC20" i="1"/>
  <c r="AR19" i="1"/>
  <c r="AQ19" i="1"/>
  <c r="AK19" i="1"/>
  <c r="AJ19" i="1"/>
  <c r="AS19" i="1" s="1"/>
  <c r="AF19" i="1"/>
  <c r="AC19" i="1"/>
  <c r="AE19" i="1" s="1"/>
  <c r="Y19" i="1"/>
  <c r="AR18" i="1"/>
  <c r="AQ18" i="1"/>
  <c r="AK18" i="1"/>
  <c r="AJ18" i="1"/>
  <c r="AS18" i="1" s="1"/>
  <c r="AF18" i="1"/>
  <c r="AC18" i="1"/>
  <c r="AE18" i="1" s="1"/>
  <c r="Y18" i="1"/>
  <c r="AR17" i="1"/>
  <c r="AQ17" i="1"/>
  <c r="AK17" i="1"/>
  <c r="AJ17" i="1"/>
  <c r="AS17" i="1" s="1"/>
  <c r="AF17" i="1"/>
  <c r="AC17" i="1"/>
  <c r="AE17" i="1" s="1"/>
  <c r="Y17" i="1"/>
  <c r="AR16" i="1"/>
  <c r="AQ16" i="1"/>
  <c r="AK16" i="1"/>
  <c r="AJ16" i="1"/>
  <c r="AS16" i="1" s="1"/>
  <c r="AF16" i="1"/>
  <c r="AC16" i="1"/>
  <c r="AE16" i="1" s="1"/>
  <c r="AR15" i="1"/>
  <c r="AQ15" i="1"/>
  <c r="AK15" i="1"/>
  <c r="AJ15" i="1"/>
  <c r="AS15" i="1" s="1"/>
  <c r="AF15" i="1"/>
  <c r="AC15" i="1"/>
  <c r="AE15" i="1" s="1"/>
  <c r="AR14" i="1"/>
  <c r="AQ14" i="1"/>
  <c r="AK14" i="1"/>
  <c r="AJ14" i="1"/>
  <c r="AS14" i="1" s="1"/>
  <c r="AF14" i="1"/>
  <c r="AC14" i="1"/>
  <c r="AE14" i="1" s="1"/>
  <c r="AR13" i="1"/>
  <c r="AQ13" i="1"/>
  <c r="AK13" i="1"/>
  <c r="AJ13" i="1"/>
  <c r="AS13" i="1" s="1"/>
  <c r="AF13" i="1"/>
  <c r="AC13" i="1"/>
  <c r="AE13" i="1" s="1"/>
  <c r="Y13" i="1"/>
  <c r="AR12" i="1"/>
  <c r="AQ12" i="1"/>
  <c r="AK12" i="1"/>
  <c r="AJ12" i="1"/>
  <c r="AS12" i="1" s="1"/>
  <c r="AF12" i="1"/>
  <c r="AC12" i="1"/>
  <c r="AE12" i="1" s="1"/>
  <c r="AR11" i="1"/>
  <c r="AQ11" i="1"/>
  <c r="AK11" i="1"/>
  <c r="AJ11" i="1"/>
  <c r="AS11" i="1" s="1"/>
  <c r="AF11" i="1"/>
  <c r="AD11" i="1"/>
  <c r="AE11" i="1" s="1"/>
  <c r="AC11" i="1"/>
  <c r="Y11" i="1"/>
  <c r="AS10" i="1"/>
  <c r="AR10" i="1"/>
  <c r="AQ10" i="1"/>
  <c r="AK10" i="1"/>
  <c r="AJ10" i="1"/>
  <c r="AF10" i="1"/>
  <c r="AC10" i="1"/>
  <c r="AE10" i="1" s="1"/>
  <c r="AR9" i="1"/>
  <c r="AQ9" i="1"/>
  <c r="AK9" i="1"/>
  <c r="AJ9" i="1"/>
  <c r="AS9" i="1" s="1"/>
  <c r="AF9" i="1"/>
  <c r="AC9" i="1"/>
  <c r="AE9" i="1" s="1"/>
  <c r="AR8" i="1"/>
  <c r="AQ8" i="1"/>
  <c r="AK8" i="1"/>
  <c r="AJ8" i="1"/>
  <c r="AS8" i="1" s="1"/>
  <c r="AF8" i="1"/>
  <c r="AD8" i="1"/>
  <c r="AE8" i="1" s="1"/>
  <c r="AC8" i="1"/>
  <c r="Y8" i="1"/>
  <c r="AR7" i="1"/>
  <c r="AQ7" i="1"/>
  <c r="AK7" i="1"/>
  <c r="AJ7" i="1"/>
  <c r="AS7" i="1" s="1"/>
  <c r="AF7" i="1"/>
  <c r="AD7" i="1"/>
  <c r="AE7" i="1" s="1"/>
  <c r="AC7" i="1"/>
  <c r="H945" i="3"/>
  <c r="H944" i="3"/>
  <c r="H930" i="3"/>
  <c r="H929" i="3"/>
  <c r="H915" i="3"/>
  <c r="H914" i="3"/>
  <c r="H900" i="3"/>
  <c r="H899" i="3"/>
  <c r="H885" i="3"/>
  <c r="H884" i="3"/>
  <c r="H870" i="3"/>
  <c r="H869" i="3"/>
  <c r="H855" i="3"/>
  <c r="H854" i="3"/>
  <c r="H840" i="3"/>
  <c r="H839" i="3"/>
  <c r="H825" i="3"/>
  <c r="H810" i="3"/>
  <c r="H795" i="3"/>
  <c r="H780" i="3"/>
  <c r="H765" i="3"/>
  <c r="H750" i="3"/>
  <c r="H735" i="3"/>
  <c r="H720" i="3"/>
  <c r="H705" i="3"/>
  <c r="H690" i="3"/>
  <c r="H689" i="3"/>
  <c r="H675" i="3"/>
  <c r="H674" i="3"/>
  <c r="H660" i="3"/>
  <c r="H659" i="3"/>
  <c r="H645" i="3"/>
  <c r="H644" i="3"/>
  <c r="H630" i="3"/>
  <c r="H629" i="3"/>
  <c r="H615" i="3"/>
  <c r="H614" i="3"/>
  <c r="H600" i="3"/>
  <c r="H599" i="3"/>
  <c r="H585" i="3"/>
  <c r="H584" i="3"/>
  <c r="H570" i="3"/>
  <c r="H569" i="3"/>
  <c r="H555" i="3"/>
  <c r="H554" i="3"/>
  <c r="H540" i="3"/>
  <c r="H539" i="3"/>
  <c r="H525" i="3"/>
  <c r="H524" i="3"/>
  <c r="H510" i="3"/>
  <c r="H509" i="3"/>
  <c r="H495" i="3"/>
  <c r="H494" i="3"/>
  <c r="H480" i="3"/>
  <c r="H479" i="3"/>
  <c r="H465" i="3"/>
  <c r="H464" i="3"/>
</calcChain>
</file>

<file path=xl/sharedStrings.xml><?xml version="1.0" encoding="utf-8"?>
<sst xmlns="http://schemas.openxmlformats.org/spreadsheetml/2006/main" count="6702" uniqueCount="1966">
  <si>
    <t xml:space="preserve">POLICÍA NACIONAL DEL ECUADOR
</t>
  </si>
  <si>
    <t>FORMATO DE CARÁTULA DE EXPEDIENTE</t>
  </si>
  <si>
    <t>SECCIÓN DOCUMENTAL</t>
  </si>
  <si>
    <t>Jefatura Operativa de Control del Tránsito y Seguridad Vial</t>
  </si>
  <si>
    <t>SUBSECCIÓN DOCUMENTAL</t>
  </si>
  <si>
    <t xml:space="preserve">Patio de Vetención Vehicular     </t>
  </si>
  <si>
    <t>SERIE DOCUMENTAL</t>
  </si>
  <si>
    <t>Retenciones Vehiculares</t>
  </si>
  <si>
    <t>SUBSERIE DOCUMENTAL</t>
  </si>
  <si>
    <t>N/A</t>
  </si>
  <si>
    <t>DESCRIPCIÓN DOCUMENTAL</t>
  </si>
  <si>
    <t>Parte policial Nro. 2025120602593551904, Hoja de Ingreso y Salida Nro. 0002030, al señor MANOSALVAS VENEGAS LUIS EDUARDO, con cédula 1201904164 del Tractocamión marca HINO color, blanco conplacas GPB2105, por Accidente de Transito.</t>
  </si>
  <si>
    <t>NUMERO DE EXPEDIENTE</t>
  </si>
  <si>
    <t>0000-2026</t>
  </si>
  <si>
    <t>FECHA DE APERTURA</t>
  </si>
  <si>
    <t>FECHA DE CIERRE</t>
  </si>
  <si>
    <t>VALOR DOCUMENTAL</t>
  </si>
  <si>
    <t>Primario</t>
  </si>
  <si>
    <t>CONDICIONES DE ACCESO</t>
  </si>
  <si>
    <t>RESERVADO</t>
  </si>
  <si>
    <t>CONFIDENCIAL</t>
  </si>
  <si>
    <t>X</t>
  </si>
  <si>
    <t>PÚBLICO</t>
  </si>
  <si>
    <t>PLAZO DE CONSERVACIÓN</t>
  </si>
  <si>
    <t xml:space="preserve">7 años </t>
  </si>
  <si>
    <t>DESTINO FINAL</t>
  </si>
  <si>
    <t>CONSERVACIÓN</t>
  </si>
  <si>
    <t xml:space="preserve">N° DE FOJAS </t>
  </si>
  <si>
    <t>ELIMINACIÓN</t>
  </si>
  <si>
    <t>x</t>
  </si>
  <si>
    <t>N° DE TOMO</t>
  </si>
  <si>
    <t>1/1</t>
  </si>
  <si>
    <t xml:space="preserve">POLICÍA NACIONAL DEL ECUADOR
</t>
  </si>
  <si>
    <t>Parte policial Nro. 20251207101848501, Hoja de Ingreso y Salida Nro. 0002031, al señor ONTANEDA YEPEZ JORGE ANIBAL, con cédula 1711325496 del Vehiculo Tipo cisterna marca FORD, color blanco con placas PQF0838, por Accidente de Transito.</t>
  </si>
  <si>
    <t>0001-2026</t>
  </si>
  <si>
    <t xml:space="preserve">POLICÍA NACIONAL DEL ECUADOR
SUBJEFATURA DE TRÁNSITO PEDERNALES-JAMA
</t>
  </si>
  <si>
    <t>Parte policial Nro. 2026011204060520618, Hoja de Ingreso y Salida Nro. 0002034, al señor SABANDO ZAMBRANO MARIA FAVIOLA, con cédula 0802191395 del Vehiculo Tipo  BUS marca VOLKSWAGEN, color VERDE con placas MAA3069, por Accidente de Transito.</t>
  </si>
  <si>
    <t>0002-2026</t>
  </si>
  <si>
    <t>Parte policial Nro. 2026011602201191513, Hoja de Ingreso y Salida Nro. 0002035, al señor CALDERON BRIONES JORGE LUIS, con cédula 1714373246del Vehiculo Tipo VOLQUETA marca HINO, color AMARILLO con placas GBN5890, por Accidente de Transito.</t>
  </si>
  <si>
    <t>0003-2026</t>
  </si>
  <si>
    <t>Parte policial Nro. 2026012408040460418, Hoja de Ingreso y Salida Nro. 0002036, al señor CAIZALUISA JURADO CARLOS, con cédula 170121200-1 del Vehiculo Tipo  BUS marca HINO, color AZUL con placas JAA3356, por Accidente de Transito.</t>
  </si>
  <si>
    <t>0004-2026</t>
  </si>
  <si>
    <t>Parte policial Nro. 2026012700585644911, Hoja de Ingreso y Salida Nro. 0002037, al señor QUIROGA VACA LUIS GONZALO, con cédula 1711739902del Vehiculo Tipo  PLATAFORMA marca SINOTRUK, color BLANCO con placas PAD2356, por Accidente de Transito.</t>
  </si>
  <si>
    <t>0005-2026</t>
  </si>
  <si>
    <t>Parte policial Nro. 2026012700585644911, Hoja de Ingreso y Salida Nro. 0002038, al señor COLCHA GUNSHA ERICK ALEXANDER, con cédula 0605787365del Vehiculo Tipo  CAMIÓN marca HINO, color blanco con placas IAK0630, por Accidente de Transito.</t>
  </si>
  <si>
    <t>0006-2026</t>
  </si>
  <si>
    <t>Parte policial Nro. 2026013009255363017, Hoja de Ingreso y Salida Nro. 0002040, al señor JAIME PATRICIO NUÑEZ MORENO, con cédula 1707104111 del Vehiculo Tipo  FURGON marca HINO, color blanco con placas GBO7773, por Accidente de Transito.</t>
  </si>
  <si>
    <t>0007-2026</t>
  </si>
  <si>
    <t>Parte policial Nro. 2026013009255363017, Hoja de Ingreso y Salida Nro. 0002041, al señor PERALVO GARCIA MARCO VINICIO, con cédula 1716186547 del Vehiculo Tipo  TRACTO CAMIÓN marca KENWORTH, color NEGRO con placas PAB1690, por Accidente de Transito.</t>
  </si>
  <si>
    <t>0008-2026</t>
  </si>
  <si>
    <t>Parte policial Nro. 2026020207283196113, Hoja de Ingreso y Salida Nro. 0002042, al señor JMEDINA AROCA LUIS DANIEL, con cédula 1717382491 del Vehiculo Tipo  CANASTILLA marca JAC, color blanco con placas PAB3354, por Accidente de Transito.</t>
  </si>
  <si>
    <t>0009-2026</t>
  </si>
  <si>
    <t>Parte policial Nro. 202602060046268501, Hoja de Ingreso y Salida Nro. 0002044, al señor REYES MENA NELSON ENRIQUE, con cédula 0500450473 del Vehiculo Tipo  FURGON marca NISSAN, color blanco con placas POT0362, por Accidente de Transito.</t>
  </si>
  <si>
    <t>0010-2026</t>
  </si>
  <si>
    <t>06/02/20260</t>
  </si>
  <si>
    <t>Parte policial Nro. 2026021110150224117, Hoja de Ingreso y Salida Nro. 0002046, al señora CARMEN AMELIA RODRIGUEZ YUQUI, con cédula 09133220786 del Vehiculo Tipo  FURGON marca JAC, color blanco con placas PAE5673, por Accidente de Transito.</t>
  </si>
  <si>
    <t>0011-2026</t>
  </si>
  <si>
    <t>Parte policial Nro. 2026021110150224117, Hoja de Ingreso y Salida Nro. 0002047, al señor RAMOS ARGUELLO HOLGER ROLANDO, con cédula 0201455029 del Vehiculo Tipo  TRACTO CAMIÓN marca FOTON, color AMARILLO con placas RAA6300, por Accidente de Transito.</t>
  </si>
  <si>
    <t>0012-2026</t>
  </si>
  <si>
    <t>Parte policial Nro. 2026022101231431508, Hoja de Ingreso y Salida Nro. 0002048, al señor JIMENEZ VACA LEONEL ISRAEL , con cédula 0503404246 del Vehiculo Tipo  TRACTO CAMIÓN marca HINO, color blanco con placas PCD3784, por Accidente de Transito.</t>
  </si>
  <si>
    <t>0013-2026</t>
  </si>
  <si>
    <t>Parte policial Nro. 2026022607544979807, Hoja de Ingreso y Salida Nro. 0002049, al señor ALCOCER ZAPATA LUIS GUSTAVO, con cédula 1710361179 del Vehiculo Tipo  FURGON marca HINO, color blanco con placas PAB7793, por Accidente de Transito.</t>
  </si>
  <si>
    <t>0014-2026</t>
  </si>
  <si>
    <t>Parte policial Nro. 2026022802031976305, Hoja de Ingreso y Salida Nro. 0002051, al señora VILATUÑA PINTO LUVIA MARUJA, con cédula 1704123031 del Vehiculo Tipo  AUTOBUS marca VOLKSWAGEN, color AZUL con placas EAA1221, por Accidente de Transito.</t>
  </si>
  <si>
    <t>0015-2026</t>
  </si>
  <si>
    <t>Parte policial Nro. 2026030607392661603, Hoja de Ingreso y Salida Nro. 0002052, al señor CHACON MOLINA PABLO ALFREDO, con cédula 0502119522 del Vehiculo Tipo  TRACTO CAMIÓN marca KENWORTH, color ANARANJADO con placas XAA1180, por Accidente de Transito.</t>
  </si>
  <si>
    <t>0016-2026</t>
  </si>
  <si>
    <t>Parte policial Nro. 2026031001195636511, Hoja de Ingreso y Salida Nro. 0002053, al señor MONTERO PINOS EDUARDO ANGEL, con cédula 1500421878 del Vehiculo Tipo  BUS marca HINO, color blanco con placas JAA1725, por Accidente de Transito.</t>
  </si>
  <si>
    <t>0017-2026</t>
  </si>
  <si>
    <t>Parte policial Nro. 202603130919564104, Hoja de Ingreso y Salida Nro. 0002054, al señor CHINGAL ZUÑIGA DALY VANESSA, con cédula 1758756249 del Vehiculo Tipo CAMION marca CHEVROLET, color blanco con placas IBA1861, por Accidente de Transito.</t>
  </si>
  <si>
    <t>0018-2026</t>
  </si>
  <si>
    <t>Parte policial Nro. 202603130919564104, Hoja de Ingreso y Salida Nro. 0002055, al señor PERALVO GARCIA MARCO VINICIO, con cédula 1716186547 del Vehiculo Tipo  TRACTO CAMIÓN marca KENWORTH, color AZUL con placas PAE1003, por Accidente de Transito.</t>
  </si>
  <si>
    <t>0019-2026</t>
  </si>
  <si>
    <t>Parte policial Nro. 202603140924020503, Hoja de Ingreso y Salida Nro. 0002056, al señora HARO OÑATE MARTHA CECILIA, con cédula 0601972102 del Vehiculo Tipo  BUS marca HINO, color PLATEADO con placas JAA3530, por Accidente de Transito.</t>
  </si>
  <si>
    <t>0020-2026</t>
  </si>
  <si>
    <t>Parte policial Nro. 2026013009255363017, Hoja de Ingreso y Salida Nro. 0002039, al señor CAIZAGUANO CHICAIZA ANGEL DIEGO, con cédula 0604415398 del Vehiculo Tipo  CAMIÓN marca HINO, color AZUL con placas GPX0484, por Accidente de Transito.</t>
  </si>
  <si>
    <t>0021-2026</t>
  </si>
  <si>
    <t>Parte policial Nro. 202602060046268501, Hoja de Ingreso y Salida Nro. 0002045, al señora BARRGAN PROAÑO JUDITH NARCISA, con cédula 12006209627 del Vehiculo Tipo  CABEZAL marca SINOTRUK, color BLANCO con placas GTT9096, por Accidente de Transito.</t>
  </si>
  <si>
    <t>0022-2026</t>
  </si>
  <si>
    <t>Parte policial Nro. 2026022511524258300, Hoja de Ingreso y Salida Nro. 0002050, al señora GARCES RAMIREZ XIMENA DEL PILAR, con cédula 1706508155 del Vehiculo Tipo  FURGON marca HINO, color BLANCO con placas RCF0072, por Accidente de Transito.</t>
  </si>
  <si>
    <t>0023-2026</t>
  </si>
  <si>
    <t>Parte policial Nro. 2026032310204179007, Hoja de Ingreso y Salida Nro. 0002058, al señor TAPIA LOPEZ EDGAR FERNANDO, con cédula 0502060635 del Vehiculo Tipo  TRACTOCAMIÓN marca INTERNACIONAL, color ROJO con placas CAA1101, por Accidente de Transito.</t>
  </si>
  <si>
    <t>0024-2026</t>
  </si>
  <si>
    <t>Parte policial Nro. 2026031709433770701, Hoja de Ingreso y Salida Nro. 0002057, al señora AGILA LALANGUI OLGA ISABEL, con cédula 1718853326 del Vehiculo Tipo  CABEZAL marca MERCEDES BENZ color PLOMO con placas QAA3010, por Accidente de Transito.</t>
  </si>
  <si>
    <t>0025-2026</t>
  </si>
  <si>
    <t>19</t>
  </si>
  <si>
    <t>Parte policial Nro. 2026032307112163205, Hoja de Ingreso y Salida Nro. 0002059, al señor CHANGO LUISA VENEGAS OSCAR ROLANDO, con cédula 1713838694 del Vehiculo Tipo  FURGON marca CHEVROLET, color ROJO con placas CBL0337, por Contravención art. 160.</t>
  </si>
  <si>
    <t>0026-2026</t>
  </si>
  <si>
    <t>12</t>
  </si>
  <si>
    <t>Parte policial Nro. 2026031810551959409, Hoja de Ingreso y Salida Nro. 0002060, al señor MURILLO VERA MICHAEL STALIN, con cédula 2350595589 del Vehiculo Tipo CAMIÓN marca HINO, color BLANCO con placas XCB0016, por Accidente de Transito.</t>
  </si>
  <si>
    <t>0027-2026</t>
  </si>
  <si>
    <t>27</t>
  </si>
  <si>
    <t>Parte policial Nro. 2026032809402780510, Hoja de Ingreso y Salida Nro. 0002063, al señora ROJAS PEDRERA ADRIANA ALEXANDRA, con cédula 1719428508 del Vehiculo Tipo VOLQUETA marca HINO, color AMARILLO con placas JEI1029, por Accidente de Transito.</t>
  </si>
  <si>
    <t>0028-2026</t>
  </si>
  <si>
    <t>21</t>
  </si>
  <si>
    <t>Parte policial Nro. 2026020503164428108, Hoja de Ingreso y Salida Nro. 0002043, al señor JOSE LUIS CAIZA MENDEZ, con cédula 1721866018 del Vehiculo Tipo PLATAFORMA marca CHEVROLET, color BLANCO con placas CAE0442, por Accidente de Transito.</t>
  </si>
  <si>
    <t>0029-2026</t>
  </si>
  <si>
    <t>20</t>
  </si>
  <si>
    <t>0030-2026</t>
  </si>
  <si>
    <t>0031-2026</t>
  </si>
  <si>
    <t>0032-2026</t>
  </si>
  <si>
    <t>0033-2026</t>
  </si>
  <si>
    <t>0034-2026</t>
  </si>
  <si>
    <t>0035-2026</t>
  </si>
  <si>
    <t>0036-2026</t>
  </si>
  <si>
    <t>0037-2026</t>
  </si>
  <si>
    <t>0038-2026</t>
  </si>
  <si>
    <t>0039-2026</t>
  </si>
  <si>
    <t>0040-2026</t>
  </si>
  <si>
    <t>0041-2026</t>
  </si>
  <si>
    <t>0042-2026</t>
  </si>
  <si>
    <t>0043-2026</t>
  </si>
  <si>
    <t>0044-2026</t>
  </si>
  <si>
    <t>0045-2026</t>
  </si>
  <si>
    <t>0046-2026</t>
  </si>
  <si>
    <t>0047-2026</t>
  </si>
  <si>
    <t>11</t>
  </si>
  <si>
    <t>0048-2026</t>
  </si>
  <si>
    <t>15</t>
  </si>
  <si>
    <t>0049-2026</t>
  </si>
  <si>
    <t>26</t>
  </si>
  <si>
    <t>0050-2026</t>
  </si>
  <si>
    <t>0051-2026</t>
  </si>
  <si>
    <t>16</t>
  </si>
  <si>
    <t>0052-2026</t>
  </si>
  <si>
    <t>29</t>
  </si>
  <si>
    <t>0053-2026</t>
  </si>
  <si>
    <t>48</t>
  </si>
  <si>
    <t>0054-2026</t>
  </si>
  <si>
    <t>18</t>
  </si>
  <si>
    <t>0055-2026</t>
  </si>
  <si>
    <t>0056-2026</t>
  </si>
  <si>
    <t>0057-2026</t>
  </si>
  <si>
    <t>0058-2026</t>
  </si>
  <si>
    <t>0059-2026</t>
  </si>
  <si>
    <t>0060-2026</t>
  </si>
  <si>
    <t>0061-2026</t>
  </si>
  <si>
    <t>0062-2026</t>
  </si>
  <si>
    <t>POLICÍA NACIONAL DE ECUADOR</t>
  </si>
  <si>
    <t>DIRECCIÓN NACIONAL DE CONTROL DE TRÁNSITO Y SEGURIDAD VIAL</t>
  </si>
  <si>
    <t xml:space="preserve"> </t>
  </si>
  <si>
    <t>CENTRO DE RETENCIÓN VEHICULAR "PORTOVIEJO TRES MARIAS"</t>
  </si>
  <si>
    <t>INGRESO DEL VEHICULO</t>
  </si>
  <si>
    <t>SALIDA DE VEHICULO</t>
  </si>
  <si>
    <t>ALCOHOCHECK</t>
  </si>
  <si>
    <t>INVESTIGACIÓN</t>
  </si>
  <si>
    <t>ORD.</t>
  </si>
  <si>
    <t>SUBZONA</t>
  </si>
  <si>
    <t>CENTRO DE RETENCION VEHICULAR</t>
  </si>
  <si>
    <t>FECHA DE INGRESO</t>
  </si>
  <si>
    <t xml:space="preserve">NÚMERO DE FORMULARIO DE INGRESO VEHICULAR </t>
  </si>
  <si>
    <t>PLACA</t>
  </si>
  <si>
    <t>MARCA</t>
  </si>
  <si>
    <t>TIPO</t>
  </si>
  <si>
    <t>MODELO</t>
  </si>
  <si>
    <t>COLOR</t>
  </si>
  <si>
    <t>AÑO DE FABRICACIÓN</t>
  </si>
  <si>
    <t>NÚMERO DE CHASIS</t>
  </si>
  <si>
    <t>NÚMERO DE MOTOR</t>
  </si>
  <si>
    <t xml:space="preserve">NÚMERO DE PARTE </t>
  </si>
  <si>
    <t>PARTE ELABORADO POR</t>
  </si>
  <si>
    <t>NOMBRE PROPIETARIO/RESPONSABLE DEL VEHICULO</t>
  </si>
  <si>
    <t>SITUACIÓN LEGAL (Infracción tránsito)</t>
  </si>
  <si>
    <t>AUTORIDAD QUE CONOCE (Juzgado Y/O fiscalia  que avocó conocimiento)</t>
  </si>
  <si>
    <t>PLACA-GRUA</t>
  </si>
  <si>
    <t>NOMBRES CONDUCTOR GRUA</t>
  </si>
  <si>
    <t>NOMBRE SERVIDOR POLICIAL QUE RECIBE LA CUSTODIA DEL VEHÍCULO</t>
  </si>
  <si>
    <t>FECHA EGRESO</t>
  </si>
  <si>
    <t>ORDEN DE LIBERTAD EMITIDA AUTORIDAD COMPETENTE</t>
  </si>
  <si>
    <t>NOMBRE DEL SEÑOR  JEFE QUE  EMITE LIBERTAD</t>
  </si>
  <si>
    <t>NOMBRES DE PERSONA A QUIEN SE ENTREGA</t>
  </si>
  <si>
    <t xml:space="preserve">NÚMERO DE CEDULA </t>
  </si>
  <si>
    <t>NÚMERO DE ORDEN DE PAGO (GARAGE)</t>
  </si>
  <si>
    <t>TIPO DE TYRAMITE / PROCESO</t>
  </si>
  <si>
    <t>DIAS DE PERMANENCIA</t>
  </si>
  <si>
    <t>VALOR TARIFARIO DIARIO</t>
  </si>
  <si>
    <t xml:space="preserve">VALOR CANCELADO POR PARQUEO </t>
  </si>
  <si>
    <t>No DE ORDEN DE PAGO</t>
  </si>
  <si>
    <t>FECHA DE PAGO EN LA ENTIDA FINANCIERA</t>
  </si>
  <si>
    <t>No DE COMPROBANTE DE PAGO DE LA ENTIDAD FINANCIERA</t>
  </si>
  <si>
    <t>INSTITUCION FINANCIERA (BANCO, COOPERATIVA, ETC)</t>
  </si>
  <si>
    <t>NOMBRE DE LA INSTITUCIÓN FINANCIERA</t>
  </si>
  <si>
    <t>NÚMERO DE FORMULARIO DE EGRESO VEHICULAR</t>
  </si>
  <si>
    <t>NOMBRE SERVIDOR POLICIAL QUE ENTREGA EL VEHÍCULO (CUSTODIO)</t>
  </si>
  <si>
    <t>NÚMERO DE ORDEN DE PAGO POR ALCOHOCHECK</t>
  </si>
  <si>
    <t>VALOR CANCELADO POR ALCOHOCHEK</t>
  </si>
  <si>
    <t>PERICIAS REALIZADAS</t>
  </si>
  <si>
    <t>NOMBRE DEL PERITO</t>
  </si>
  <si>
    <t>FECHA  DE PAGO EN  LA ENTIDAD FINANCIERA</t>
  </si>
  <si>
    <t>NRO. DE COMPROBANTE DE PAGO DE LA ENTIDAD FINANCIERA</t>
  </si>
  <si>
    <t>INSTITUCIÓN FINANCIERA (BANCO-COOPERATIVA)</t>
  </si>
  <si>
    <t>SANTO DOMINGO</t>
  </si>
  <si>
    <t>CONTROL 120</t>
  </si>
  <si>
    <t>PPM0426</t>
  </si>
  <si>
    <t>SUZUKI</t>
  </si>
  <si>
    <t>FORSA 1.0L T/M</t>
  </si>
  <si>
    <t>AZUL</t>
  </si>
  <si>
    <t>SF3105A11578</t>
  </si>
  <si>
    <t>G10445928</t>
  </si>
  <si>
    <t>2025090406533790718</t>
  </si>
  <si>
    <t>SGOS. TOAQUIZA MARCO</t>
  </si>
  <si>
    <t xml:space="preserve">MALES AULLA GERARDO NICOLAS </t>
  </si>
  <si>
    <t>ACCIDENTE DE TRANSITO</t>
  </si>
  <si>
    <t>FISCALIA</t>
  </si>
  <si>
    <t>SGOS. CHASIPANTA XAVIER</t>
  </si>
  <si>
    <t>PQF0838</t>
  </si>
  <si>
    <t>FORD</t>
  </si>
  <si>
    <t>CISTERNA</t>
  </si>
  <si>
    <t>B1518TURBO 184HP</t>
  </si>
  <si>
    <t>BLANCO</t>
  </si>
  <si>
    <t>9BFYTARB1RD879646</t>
  </si>
  <si>
    <t>´202512071018484501</t>
  </si>
  <si>
    <t>CBOP. ABATA SANTIAGO</t>
  </si>
  <si>
    <t>ONTANEDA YEPEZ JORGE ANIBAL</t>
  </si>
  <si>
    <t>OFICIO No. FPSD-FEAT1-0258-2026-000018-O</t>
  </si>
  <si>
    <t>MAYOR. SUAREZ JACOME JUAN CARLOS</t>
  </si>
  <si>
    <t>SERVICIO DE GARAJE PESADOS (DE 3,51 TN HASTA 12 TN) (DIARIOS)</t>
  </si>
  <si>
    <t>MI NEGOCIO EFECTIVO-MI VECINO BANCO PICHINCHA-MI NEGOCIO EFECTIVO</t>
  </si>
  <si>
    <t xml:space="preserve">INORME TECNICO PERICIAL DE EVALUO TECNICO MECANICO Y RECONOCIMIENTO DE DAÑOS MATERIALES </t>
  </si>
  <si>
    <t>CBOP. FRANCISCO WLADIMIR NASIMBA GUALPA</t>
  </si>
  <si>
    <t>MAA3069</t>
  </si>
  <si>
    <t>VOLSKWAGEN</t>
  </si>
  <si>
    <t>BUS</t>
  </si>
  <si>
    <t xml:space="preserve">
17210 OD 6.5 4X2 TM</t>
  </si>
  <si>
    <t>ANARANJADO</t>
  </si>
  <si>
    <t>9F3GH1JGUAXX13056</t>
  </si>
  <si>
    <t>J08CTT39521</t>
  </si>
  <si>
    <t>2026011204060520618</t>
  </si>
  <si>
    <t>SGOS. PUCHA BYRON</t>
  </si>
  <si>
    <t>SABANDO ZAMBRANO MARIA FAVIOLA</t>
  </si>
  <si>
    <t>SGOS. GUERRERO ALBERTO</t>
  </si>
  <si>
    <t>OFICIO No. FPSD-FEAT2-0608-2026-000227-O</t>
  </si>
  <si>
    <t>MAYR. GALIANO ANDRADE EDISON EDUARDO</t>
  </si>
  <si>
    <t>BANCO DEL PACIFICO</t>
  </si>
  <si>
    <t>CBOS. GUAMAN JEFFERSON</t>
  </si>
  <si>
    <t>GBN5890</t>
  </si>
  <si>
    <t>HINO</t>
  </si>
  <si>
    <t>VOLQUETA</t>
  </si>
  <si>
    <t>FM1JLUD AC 8.0 2P 6X4 TM DIESEL</t>
  </si>
  <si>
    <t>AMARILLO</t>
  </si>
  <si>
    <t>9F3FM1JLUEXX13122</t>
  </si>
  <si>
    <t>J08CTT49883</t>
  </si>
  <si>
    <t>2026011602201191513</t>
  </si>
  <si>
    <t>CBOS. CANGO JEFFERSON</t>
  </si>
  <si>
    <t>CALDERON BRIONES JORGE LUIS</t>
  </si>
  <si>
    <t>OFICIO No. FPSD-FEAT1-0258-2026-000196-O</t>
  </si>
  <si>
    <t>1714373246</t>
  </si>
  <si>
    <t>SERVICIO DE GARAJE EXTRA PESADOS (MAS DE 12 TN) (DIARIOS)</t>
  </si>
  <si>
    <t>MI NEGOCIO EFECTIVO</t>
  </si>
  <si>
    <t>CBOP. GAVILANEZ LENIN</t>
  </si>
  <si>
    <t>JAA3356</t>
  </si>
  <si>
    <t>AK8JRSA AC 7.7 1P 4X2 TM DIESEL</t>
  </si>
  <si>
    <t>JHDAK8JRSLXX17722</t>
  </si>
  <si>
    <t>J08EUD33999</t>
  </si>
  <si>
    <t>´2026012408040460418</t>
  </si>
  <si>
    <t>SGOP. CHANGO CARLOS</t>
  </si>
  <si>
    <t>CAIZALUIZA JURADO CARLOS</t>
  </si>
  <si>
    <t>OF. No. FPSD-FEAT3-0609-2026-00567-O</t>
  </si>
  <si>
    <t>SERVICIO DE GARAJE EXTRA PESADOS (MÁS DE 12 TN) (DIARIOS)</t>
  </si>
  <si>
    <t>PAD2356</t>
  </si>
  <si>
    <t>SINOTRUK</t>
  </si>
  <si>
    <t>PLATAFORMA</t>
  </si>
  <si>
    <t>HOWO T5G ZZ1167K501GE1 AC 6.9 2P 4X2</t>
  </si>
  <si>
    <t>LZZ1BBKG3TA196146</t>
  </si>
  <si>
    <t>2026012700585644911</t>
  </si>
  <si>
    <t>QUIROLA VACA LUIS GONZALO</t>
  </si>
  <si>
    <t>OF. No. FPSD-FEAT2-0608-2026-000622-O</t>
  </si>
  <si>
    <t>MAYOR. GALIANO ANDRADE EDISON EDUARDO</t>
  </si>
  <si>
    <t>LUIS GONZALO QUIROLA VACA</t>
  </si>
  <si>
    <t>12711739902</t>
  </si>
  <si>
    <t>2026021383227820</t>
  </si>
  <si>
    <t>POLI. TIPAN KEVIN</t>
  </si>
  <si>
    <t>CBOP. REA FREIRE JULIO ERNESTO</t>
  </si>
  <si>
    <t>IAK0630</t>
  </si>
  <si>
    <t>CAMIÓN</t>
  </si>
  <si>
    <t>GH1JMUA</t>
  </si>
  <si>
    <t>JHDGH1JMU9XX13743</t>
  </si>
  <si>
    <t>J08CTT34551</t>
  </si>
  <si>
    <t>COLCHA GUNSHA ERIK ALEXANDER</t>
  </si>
  <si>
    <t>OF. No. FPSD-FEAT2-0608-2026-000740-O</t>
  </si>
  <si>
    <t>0605787365</t>
  </si>
  <si>
    <t>96374559</t>
  </si>
  <si>
    <t>BANCO DEL PICHINCHA</t>
  </si>
  <si>
    <t>GPX0484</t>
  </si>
  <si>
    <t>JHDGH1JMU8XX11914</t>
  </si>
  <si>
    <t>J08CTT27435</t>
  </si>
  <si>
    <t>2026013009255363017</t>
  </si>
  <si>
    <t>CBOS. CHASI DAVID</t>
  </si>
  <si>
    <t>CAIZAGUANO CHICAIZA ANGEL DIEGO</t>
  </si>
  <si>
    <t>OFICIO No. FPSD-FEAT3-0609-2026-001045-O</t>
  </si>
  <si>
    <t>MAYR. SOLIS MAYORGA PABLO ENRIQUE</t>
  </si>
  <si>
    <t>0604415398</t>
  </si>
  <si>
    <t>CBOP. NASIMBA FRANCISCO</t>
  </si>
  <si>
    <t>GBO7773</t>
  </si>
  <si>
    <t>FURGON</t>
  </si>
  <si>
    <t>GH8JM7A-XG3 AC 7.7 2P 4X2 TM DIESEL</t>
  </si>
  <si>
    <t>9F3GH8JM7KXX10505</t>
  </si>
  <si>
    <t>J08EWG10725</t>
  </si>
  <si>
    <t>NUÑEZ MORENO JAIME PATRICIO</t>
  </si>
  <si>
    <t>OFICIO No. FPSD-FEAT3-0609-2026-000735-O</t>
  </si>
  <si>
    <t>MAYR. SUAREZ JACOME JUAN</t>
  </si>
  <si>
    <t>CBOP. DIAZ STALIN</t>
  </si>
  <si>
    <t>PAB1690</t>
  </si>
  <si>
    <t>KENWORTH</t>
  </si>
  <si>
    <t>TRACTO CAMIÓN</t>
  </si>
  <si>
    <t>T800 6X4</t>
  </si>
  <si>
    <t>NEGRO</t>
  </si>
  <si>
    <t>1XKDD40X2CR706062</t>
  </si>
  <si>
    <t>PERALVO GARCIA MARCO VINIVIO</t>
  </si>
  <si>
    <t>OFICIO No. FPSD-FEAT3-0609-2026-000574-O</t>
  </si>
  <si>
    <t>PERALVO GARCIA MARCO VINICIO</t>
  </si>
  <si>
    <t>1716186547</t>
  </si>
  <si>
    <t>SERVIPAGOS</t>
  </si>
  <si>
    <t>CBOP. SARANGO ROBERTO</t>
  </si>
  <si>
    <t>PAB3354</t>
  </si>
  <si>
    <t>JAC</t>
  </si>
  <si>
    <t>CANASTILLA</t>
  </si>
  <si>
    <t>HFC1134KR1 AC 6.7 2P 4X2 TM DIESEL</t>
  </si>
  <si>
    <t>LJ11R2DG9M3200159</t>
  </si>
  <si>
    <t>2026020207283196113</t>
  </si>
  <si>
    <t>MEDINA AROCA LUIS DANIEL</t>
  </si>
  <si>
    <t>OF. No. FPSD-FEAT3-0609-2026-000953-O</t>
  </si>
  <si>
    <t>CPTN. IZA VILLENA RODNEY ESTEBAN</t>
  </si>
  <si>
    <t>1717382491</t>
  </si>
  <si>
    <t>96502041-STO-SOL-031301007927594-17305788-7927594</t>
  </si>
  <si>
    <t>BANCO DEL PACIFICO-BANCO DEL PACIFICO</t>
  </si>
  <si>
    <t>CBOP. GAVILANEZ AZOGUE LENIN</t>
  </si>
  <si>
    <t>CAE0442</t>
  </si>
  <si>
    <t>CHEVROLET</t>
  </si>
  <si>
    <t>FVR 32P CHASIS CABINADO</t>
  </si>
  <si>
    <t>JALFVR32P33000006</t>
  </si>
  <si>
    <t>6HE1900582</t>
  </si>
  <si>
    <t>2026020503164428108</t>
  </si>
  <si>
    <t>SGOP. LOPEZ RICHARD</t>
  </si>
  <si>
    <t>CAZA MENDEZ JOSE LUIS</t>
  </si>
  <si>
    <t>SGOS. GUERRERO ALBEFRTO</t>
  </si>
  <si>
    <t>OF. No. FPSD-FEAT3-0609-2026-001013-O</t>
  </si>
  <si>
    <t>1721866018</t>
  </si>
  <si>
    <t>97283471/96689377</t>
  </si>
  <si>
    <t>202604163646507</t>
  </si>
  <si>
    <t>POLI. ESCOBAR NIXON</t>
  </si>
  <si>
    <t>POT0362</t>
  </si>
  <si>
    <t>NISSAN</t>
  </si>
  <si>
    <t>PKC212MHLB</t>
  </si>
  <si>
    <t>JNBPKC212AM00690</t>
  </si>
  <si>
    <t>FE6003685H</t>
  </si>
  <si>
    <t>202602060046268501</t>
  </si>
  <si>
    <t>SGOP. INCA VICTOR</t>
  </si>
  <si>
    <t>NELSON ENRIQUE REYES MENA</t>
  </si>
  <si>
    <t>OF. No. FPSD-FEAT2-0608-2026-000872-O</t>
  </si>
  <si>
    <t>MAYOR SOLIS MAYORGA PABLO</t>
  </si>
  <si>
    <t>0500450473</t>
  </si>
  <si>
    <t>202603107899120</t>
  </si>
  <si>
    <t>CPTN. RAMIREZ VELASTEGUI SANTIAGO RUBEN</t>
  </si>
  <si>
    <t>GTT9096</t>
  </si>
  <si>
    <t>CABEZAL</t>
  </si>
  <si>
    <t>SITRAK C7H ZZ4256V324HC1B AC 12,4</t>
  </si>
  <si>
    <t>LZZ7CLXB6TC695392</t>
  </si>
  <si>
    <t>´202602060046268510</t>
  </si>
  <si>
    <t>SGOP.MUÑOZ VERA EDWIN JAVIER</t>
  </si>
  <si>
    <t>ORIENTAL ALIMENTICIA S.A.</t>
  </si>
  <si>
    <t>OF. No. FPSD-FEAT2-0608-2026-001128-O</t>
  </si>
  <si>
    <t>BARRAGAN PROAÑO YUDITH NARCISA</t>
  </si>
  <si>
    <t>BANCO PACIFICO</t>
  </si>
  <si>
    <t>PAE5673</t>
  </si>
  <si>
    <t>CN HFC1063KN 4,5 2P 4X2 TM DIESEL</t>
  </si>
  <si>
    <t>LJ11KRCE8T1901086</t>
  </si>
  <si>
    <t>´2026021110150224117</t>
  </si>
  <si>
    <t>RODRIGUEZ YUQUI CARMEN AMELIA</t>
  </si>
  <si>
    <t>OFICIO No. FPSD-FEAT1-0258-2026-001028-O</t>
  </si>
  <si>
    <t>MI NEGOCIO EFECTIVO  BANCO PICHINCHA</t>
  </si>
  <si>
    <t>RAA6300</t>
  </si>
  <si>
    <t>FOTON</t>
  </si>
  <si>
    <t>AUMAN BJ4259 AC 11,8  2P 6X4 TM DIESEL</t>
  </si>
  <si>
    <t>LVBS6PEBXJT009981</t>
  </si>
  <si>
    <t>ISGE343076216065</t>
  </si>
  <si>
    <t>RAMOS ARGUELLO HOLGER ROLANDO</t>
  </si>
  <si>
    <t>OFICIO No. FPSD-FEAT1-0258-2026-001029-O</t>
  </si>
  <si>
    <t>PCD3784</t>
  </si>
  <si>
    <t>S81EKVA TM 12,9 2P 6X4</t>
  </si>
  <si>
    <t>JHDSS1EK701S13321</t>
  </si>
  <si>
    <t>E13CTR17378</t>
  </si>
  <si>
    <t>´2026022101231431508</t>
  </si>
  <si>
    <t>JIMENEZ VACA LEONEL ISRAEL</t>
  </si>
  <si>
    <t>OF. No. FPSD-FEAT3-0609-2026-00820-O</t>
  </si>
  <si>
    <t>CBOP. ESTALIN PATRICIO DIAZ FUENTES</t>
  </si>
  <si>
    <t>RCF0072</t>
  </si>
  <si>
    <t>XZ413L-HKMMD</t>
  </si>
  <si>
    <t>JHFUT13H172000027</t>
  </si>
  <si>
    <t>N04CTT10139</t>
  </si>
  <si>
    <t>´2026022511524258300</t>
  </si>
  <si>
    <t>CBOP. PASPUEL WILSON</t>
  </si>
  <si>
    <t>DISTRIBUIDORA IMPORTADORA DIPORT</t>
  </si>
  <si>
    <t>OF. No. PN-SZSDT-JPCTV-DIG-2026-096-O</t>
  </si>
  <si>
    <t>MAYOR. JARA POZO KERLEY EDUARDO</t>
  </si>
  <si>
    <t>GARCES RAMIREZ XIMENA DEL PILAR</t>
  </si>
  <si>
    <t>SGOS. CRUZ CALDERON DANILO FABRICIO</t>
  </si>
  <si>
    <t>PAB7793</t>
  </si>
  <si>
    <t>FM2PR7A-SG3 AC 10,5 2P 6X4 TM DIESEL</t>
  </si>
  <si>
    <t>9F3FM2PR7MXX10407</t>
  </si>
  <si>
    <t>P11CVT21007</t>
  </si>
  <si>
    <t>´2026022607544979807</t>
  </si>
  <si>
    <t>SGOP. VIRACOCHA RODOLFO</t>
  </si>
  <si>
    <t>ALCOCER ZAPATA LUIS GUSTAVO</t>
  </si>
  <si>
    <t>OF. No. FPSD-FEAT3-0609-2026-000919-O</t>
  </si>
  <si>
    <t>MI NEGOCIO EFECTIVO-MI NEGOCIO EFECTIVO</t>
  </si>
  <si>
    <t>EAA1221</t>
  </si>
  <si>
    <t>VOLKSWAGEN</t>
  </si>
  <si>
    <t>AUTOBUS</t>
  </si>
  <si>
    <t>17210 OO 6,5 4X2 TM DIESEL</t>
  </si>
  <si>
    <t>9532F82W3DR313998</t>
  </si>
  <si>
    <t>G1T145457</t>
  </si>
  <si>
    <t>´2026022802031976305</t>
  </si>
  <si>
    <t>SGOS. CALDERON PABLO</t>
  </si>
  <si>
    <t>VILATUÑA PINTO LIVIA MARUJA</t>
  </si>
  <si>
    <t>OF. No. FPSD-FEAT2-0608-2026-0000087-O</t>
  </si>
  <si>
    <t>XAA1180</t>
  </si>
  <si>
    <t>T800 ESPECIAL EDITION AERODYNAME</t>
  </si>
  <si>
    <t>3WKDD40XXEF718448</t>
  </si>
  <si>
    <t>´2026030607392661603</t>
  </si>
  <si>
    <t>CBOS. CUÑEZ GUALOMOTO BRYAN OSWALDO</t>
  </si>
  <si>
    <t>CHACON MOLINA PABLO ALFREDO</t>
  </si>
  <si>
    <t>CBOP. BRAULIO ACUÑA</t>
  </si>
  <si>
    <t>OF. No. FPSD-FEAT1-3009-2026-000034-O</t>
  </si>
  <si>
    <t>´0502119522</t>
  </si>
  <si>
    <t>AGENTE GAROFALO ROBERTO</t>
  </si>
  <si>
    <t>JAA1725</t>
  </si>
  <si>
    <t>JHDAK8JRSEXX12015</t>
  </si>
  <si>
    <t>J08EUD19818</t>
  </si>
  <si>
    <t>´2026031001195636511</t>
  </si>
  <si>
    <t>MONTERO PINOS EDUARDO ANGEL</t>
  </si>
  <si>
    <t>OF. No. 1157-2026-FGE-UFSDT</t>
  </si>
  <si>
    <t>CBOP. LENIN ORLANDO GAVILANEZ AZOGUE</t>
  </si>
  <si>
    <t>IBA1861</t>
  </si>
  <si>
    <t>FVR 23P CHASIS CABINADO</t>
  </si>
  <si>
    <t>JALFVR23P970000093</t>
  </si>
  <si>
    <t>6SD1416579</t>
  </si>
  <si>
    <t>´202603130919564104</t>
  </si>
  <si>
    <t>CHINGAL ZUÑIGA DALY VANESSA</t>
  </si>
  <si>
    <t>OF. No. FPSD-FEAT3-0609-2026-0001037-O</t>
  </si>
  <si>
    <t>CBOS. GUAMAN FREIRE JEFFERSON GUILLERMO</t>
  </si>
  <si>
    <t>PAE1001</t>
  </si>
  <si>
    <t>T880 AC 15,0 2P 6X4</t>
  </si>
  <si>
    <t>3WKZD40X4PF203924</t>
  </si>
  <si>
    <t>OF. No. FPSD-FEAT3-0609-2026-0001038-O</t>
  </si>
  <si>
    <t>NO LEGIBLE</t>
  </si>
  <si>
    <t>JAA3530</t>
  </si>
  <si>
    <t>PLATEADO</t>
  </si>
  <si>
    <t>JHDAK8JRSPXX19028</t>
  </si>
  <si>
    <t>J08EUD36562</t>
  </si>
  <si>
    <t>´202603140924020503</t>
  </si>
  <si>
    <t>SGOS. PINZON DIEGO</t>
  </si>
  <si>
    <t>HARO OÑATE MARTHA CECILIA</t>
  </si>
  <si>
    <t>OF. No. FPSD-FEAT2-0608-2026-0001094-O</t>
  </si>
  <si>
    <t>´0601972102</t>
  </si>
  <si>
    <t>QAA3010</t>
  </si>
  <si>
    <t>MERCEDEZ BENZ</t>
  </si>
  <si>
    <t>ACTROS 2645 AC</t>
  </si>
  <si>
    <t>PLOMO</t>
  </si>
  <si>
    <t>W1T954414R0732992</t>
  </si>
  <si>
    <t>460972U1147075</t>
  </si>
  <si>
    <t>20260311709433770701</t>
  </si>
  <si>
    <t>AGILA LALANGUI OLGA ISABEL</t>
  </si>
  <si>
    <t>OF. No. FPSD-FEAT2-0608-2026-001221-O</t>
  </si>
  <si>
    <t>1718853326</t>
  </si>
  <si>
    <t>021238</t>
  </si>
  <si>
    <t>BANCO PICHINCHA - MI NEGOCIO EFECTIVO</t>
  </si>
  <si>
    <t>XCB0016</t>
  </si>
  <si>
    <t>FC4JJUA</t>
  </si>
  <si>
    <t>JHDFC4JJU6XX13474</t>
  </si>
  <si>
    <t>J05CTF17658</t>
  </si>
  <si>
    <t>´2026031810551959409</t>
  </si>
  <si>
    <t>POLI. CACOANGO ALEX</t>
  </si>
  <si>
    <t>MURILLO VELAZQUEZ STALIN LEONEL</t>
  </si>
  <si>
    <t>OF. No. FPSD-FEAT3-0609-2026-0001127-O</t>
  </si>
  <si>
    <t>CAA1101</t>
  </si>
  <si>
    <t>INTERNATIONAL</t>
  </si>
  <si>
    <t>PROSTAR 6X4</t>
  </si>
  <si>
    <t>ROJO</t>
  </si>
  <si>
    <t>3HSDJAPT8CN121141</t>
  </si>
  <si>
    <t>2026032310204179007</t>
  </si>
  <si>
    <t>TAPIA LOPEZ EDGAR FERNANDO</t>
  </si>
  <si>
    <t>OFICIO No. FPSD-FEAT3-0609-2026-001130-O</t>
  </si>
  <si>
    <t>0502060635</t>
  </si>
  <si>
    <t>CBOP. NASIMBA FABRICIO</t>
  </si>
  <si>
    <t>CBL0337</t>
  </si>
  <si>
    <t>FTR 32M</t>
  </si>
  <si>
    <t>JALFTR32M37000024</t>
  </si>
  <si>
    <t>6HE1900984</t>
  </si>
  <si>
    <t>202603237112163205</t>
  </si>
  <si>
    <t>POLI. SANCHEZ JOSE</t>
  </si>
  <si>
    <t>CHANGOLUISA VENEGAS OSCAR ROLANDO</t>
  </si>
  <si>
    <t>ART. 160</t>
  </si>
  <si>
    <t>JUZGADO</t>
  </si>
  <si>
    <t>CHANGOLUISA VENEGAS OSACAR RO,ANDO</t>
  </si>
  <si>
    <t>1713838694</t>
  </si>
  <si>
    <t>CAE0061</t>
  </si>
  <si>
    <t>FF1JPTZ</t>
  </si>
  <si>
    <t>JHDFF1JPT2XX10220</t>
  </si>
  <si>
    <t>J08CTT11016</t>
  </si>
  <si>
    <t>2026032703225956301</t>
  </si>
  <si>
    <t>SGOS. BRAVO HENRY</t>
  </si>
  <si>
    <t>LARA PAREDES PABLO WILMER</t>
  </si>
  <si>
    <t>TBB2616</t>
  </si>
  <si>
    <t>HFC1035KD</t>
  </si>
  <si>
    <t>LJ11KBACXA6000780</t>
  </si>
  <si>
    <t>2026032809402780510</t>
  </si>
  <si>
    <t>CBOP. GARCIA MANUEL</t>
  </si>
  <si>
    <t>VALERA VILLAVICENCIO CHISTIAN</t>
  </si>
  <si>
    <t>OF. No. FPSD-FEAT3-0609-2026-001632-O</t>
  </si>
  <si>
    <t>MAYR. SUAREZ JACOME JUAN CARLOS</t>
  </si>
  <si>
    <t>VALERA VILLAVICENCIO CHRISTIAN EMMANUEL</t>
  </si>
  <si>
    <t>1726674011</t>
  </si>
  <si>
    <t>SERVICIO DE GARAJE LIVIANOS (HASTA 3,5 TN A EXCEPCIÓN DE MOTOCICLETAS) (DIARIOS)</t>
  </si>
  <si>
    <t>SERVIPAGOS AGENTE</t>
  </si>
  <si>
    <t>JEI1029</t>
  </si>
  <si>
    <t>GH1JGUD</t>
  </si>
  <si>
    <t>GAD STO. DOMINGO</t>
  </si>
  <si>
    <t>ACCIDENTE TRANSITO</t>
  </si>
  <si>
    <t>OFICIO No. FPSD-FEAT3-0609-2026-001190-O</t>
  </si>
  <si>
    <t>ROJAS PEDRERA ADRIANA ALEXANDRA</t>
  </si>
  <si>
    <t>1719428508</t>
  </si>
  <si>
    <t>SGOS. CRUZ DANILO</t>
  </si>
  <si>
    <t>GBQ1564</t>
  </si>
  <si>
    <t>FC9JJ7A-BBAHFAA AC 5.1 2P 4X2 TM DIESEL</t>
  </si>
  <si>
    <t>9F3FC9JJ7SXX12899</t>
  </si>
  <si>
    <t>J05EVC14384</t>
  </si>
  <si>
    <t>SGOS. ANDAGOYA GERMAN</t>
  </si>
  <si>
    <t>TORRES NIETO JORGE ABRAHAM</t>
  </si>
  <si>
    <t>POLI. HURTADO KLEVER</t>
  </si>
  <si>
    <t>TAT0311</t>
  </si>
  <si>
    <t>GD1JPTZ</t>
  </si>
  <si>
    <t>JHDGD1JPT5XX11460</t>
  </si>
  <si>
    <t>J08CTW13590</t>
  </si>
  <si>
    <t>2026040610455152911</t>
  </si>
  <si>
    <t>POLI. MENDOZA LEONEL</t>
  </si>
  <si>
    <t>GUANOQUIZA VALIENTE MILTON PATRICIO</t>
  </si>
  <si>
    <t>ART. 386 INCISO 3 #1</t>
  </si>
  <si>
    <t>POLI. LUNA XAVIER</t>
  </si>
  <si>
    <t>OF. No PN-SZSDT-JPCTSV-DIG-2026-0108-O</t>
  </si>
  <si>
    <t>CBOS. MONAR GUAÑA GENESIS ELIZABETH</t>
  </si>
  <si>
    <t>0502919780</t>
  </si>
  <si>
    <t>97524839/97528534</t>
  </si>
  <si>
    <t>24/04/2026
25/04/2026</t>
  </si>
  <si>
    <t>202604243613480
202604253816371</t>
  </si>
  <si>
    <t>BANCO GUAYAQUIL</t>
  </si>
  <si>
    <t>PAA8922</t>
  </si>
  <si>
    <t>FRR 90L 5 2 2P 4X2 TM DIESEL</t>
  </si>
  <si>
    <t>JALFRR90LK7000011</t>
  </si>
  <si>
    <t>4HK1682249</t>
  </si>
  <si>
    <t>202604100449574102</t>
  </si>
  <si>
    <t>CBOS. MERIZALDE NICK</t>
  </si>
  <si>
    <t>PAEZ MIÑIZ JORGE REINALDO</t>
  </si>
  <si>
    <t>OFICIO No. FPSD-FEAT3-0609-2026-001325-O</t>
  </si>
  <si>
    <t>PAEZ MUÑIZ JORGE REINALDO</t>
  </si>
  <si>
    <t>1723853600</t>
  </si>
  <si>
    <t>B8K0897</t>
  </si>
  <si>
    <t>FREIGHTLINER</t>
  </si>
  <si>
    <t>3AKJA6CG7BDAW4524</t>
  </si>
  <si>
    <t>06R1037992</t>
  </si>
  <si>
    <t>SGOS. PILCO EDGAR</t>
  </si>
  <si>
    <t>TERRACARGO S.A. CERRADA</t>
  </si>
  <si>
    <t>LBX0099</t>
  </si>
  <si>
    <t>FS1KRTA</t>
  </si>
  <si>
    <t>JHDFS1KRT2XX10022</t>
  </si>
  <si>
    <t>K13CTU10136</t>
  </si>
  <si>
    <t>2026041603160431611</t>
  </si>
  <si>
    <t>CORTEZ ROGEL ELIZABETH</t>
  </si>
  <si>
    <t>OF. No. FPSD-FEAT2-0608-2026-001636-O</t>
  </si>
  <si>
    <t>CORTEZ ROGEL ELIZABETH AMALIA</t>
  </si>
  <si>
    <t>0802740647</t>
  </si>
  <si>
    <t>MI NEGOCIO EFECTIVO  BANCO PACIFICO</t>
  </si>
  <si>
    <t>XAA1507</t>
  </si>
  <si>
    <t>BJ41183SLFJA-2 AC 11,6 2P 4X2 TM DIESEL</t>
  </si>
  <si>
    <t>DORADO</t>
  </si>
  <si>
    <t>LVBS6PEB9EH200011</t>
  </si>
  <si>
    <t>1112S012789</t>
  </si>
  <si>
    <t>´2026042208143572112</t>
  </si>
  <si>
    <t>CBOP. GUALLPA HECTOR</t>
  </si>
  <si>
    <t>PINANGO JUAN FRANCISCO</t>
  </si>
  <si>
    <t>OF. No. FPSD-FEAT3-0609-2026-001456-O</t>
  </si>
  <si>
    <t>TDV0954</t>
  </si>
  <si>
    <t>FVR 23P</t>
  </si>
  <si>
    <t>JALFVR23P97000107</t>
  </si>
  <si>
    <t>6SD1418711</t>
  </si>
  <si>
    <t>2026042310012581806</t>
  </si>
  <si>
    <t>SGOS. SANTILLAN CARLOS</t>
  </si>
  <si>
    <t>LEVERONE ARBOLEDA GARY CRISTHOPER</t>
  </si>
  <si>
    <t>OFICIO No. FPSD-FEAT1-0258-2026-001603-O</t>
  </si>
  <si>
    <t>0802813675</t>
  </si>
  <si>
    <t>ICAZA DANIEL</t>
  </si>
  <si>
    <t>IAI0267</t>
  </si>
  <si>
    <t>FTR32M</t>
  </si>
  <si>
    <t>8LHFTR32M67000129</t>
  </si>
  <si>
    <t>6HE1406615</t>
  </si>
  <si>
    <t>2026050302104185307</t>
  </si>
  <si>
    <t>BARONA FIALLOS ANGEL GUSTAVO</t>
  </si>
  <si>
    <t>OFICIO No. FPSD-FEAT2-3072-2026-000163-O</t>
  </si>
  <si>
    <t>1711484004</t>
  </si>
  <si>
    <t>CBOS. SANTILLAN CASTILLO</t>
  </si>
  <si>
    <t>KAA1690</t>
  </si>
  <si>
    <t>FM2PL7D-SG3 AC 10.5 2P 6X4 TM DIESEL</t>
  </si>
  <si>
    <t>9F3FM2PL7JXX10071</t>
  </si>
  <si>
    <t>P11CVT20240</t>
  </si>
  <si>
    <t>2026050611324782113</t>
  </si>
  <si>
    <t>CBOP. RENGEL JULIO</t>
  </si>
  <si>
    <t xml:space="preserve">CAMACHO CAMACHO  RENE WILFRIDO </t>
  </si>
  <si>
    <t>OF. No. FPSD-FEAT2-0608-2026-001866-O</t>
  </si>
  <si>
    <t>CAMACHO CAMACHO RENE WILFRIDO</t>
  </si>
  <si>
    <t>1707682702</t>
  </si>
  <si>
    <t>CBOS. JONATHAN ISMAEL ARMIJOS MEJIA</t>
  </si>
  <si>
    <t>JAA1756</t>
  </si>
  <si>
    <t>JHDAK8JRSGXX13605</t>
  </si>
  <si>
    <t>J08EUD25342</t>
  </si>
  <si>
    <t>2026050907541948413</t>
  </si>
  <si>
    <t>COQUE TONATO JUAN</t>
  </si>
  <si>
    <t>OF. No. FPSD-FEAT3-0609-2026-001663-O</t>
  </si>
  <si>
    <t>COQUE TONATO JUAN JOSE</t>
  </si>
  <si>
    <t>0500720537</t>
  </si>
  <si>
    <t xml:space="preserve">  </t>
  </si>
  <si>
    <t>PUK0033</t>
  </si>
  <si>
    <t>FLD 120</t>
  </si>
  <si>
    <t>3AKJALCG98DZ68539</t>
  </si>
  <si>
    <t>06R0982790</t>
  </si>
  <si>
    <t>20260512095053535006</t>
  </si>
  <si>
    <t>SGOS. BONILLA PAUL</t>
  </si>
  <si>
    <t>MEDRANO JARRIN FERNANDO</t>
  </si>
  <si>
    <t>OF. No. FPSD-FEAT2-0608-2026-002039-O</t>
  </si>
  <si>
    <t>MATA GUZMAN PABLO SANTIAGO</t>
  </si>
  <si>
    <t>POLI. HERRERA ORDOÑEZ ANTHONY STEEVEN</t>
  </si>
  <si>
    <t>MBE7165</t>
  </si>
  <si>
    <t>XZU640L-HKMLJ3 AC 4.0 2P 4X2 TM DIESEL</t>
  </si>
  <si>
    <t>9F3BCJ4H5L2108076</t>
  </si>
  <si>
    <t>N04CUY18288</t>
  </si>
  <si>
    <t>OFICIO No. FPSD-FEAT2-0608-2026-001909-O</t>
  </si>
  <si>
    <t>FERNANDEZ MEZA GEAN KAISSUS</t>
  </si>
  <si>
    <t>1307161321</t>
  </si>
  <si>
    <t>MAA7271</t>
  </si>
  <si>
    <t>M2112C AC 12,8 2P 6X4 TM DIESEL</t>
  </si>
  <si>
    <t>3AKJC5CV2MDKY3443</t>
  </si>
  <si>
    <t>460908U1050334</t>
  </si>
  <si>
    <t>20260529094550100000</t>
  </si>
  <si>
    <t>CBOP. CEDEÑO ITALO</t>
  </si>
  <si>
    <t>CONFORME LOPEZ DARWIN DAVID</t>
  </si>
  <si>
    <t>PAD2382</t>
  </si>
  <si>
    <t>HOWO NQS ZZ1067G421CD165</t>
  </si>
  <si>
    <t>LZZ1BAFE6TF141793</t>
  </si>
  <si>
    <t>´2026052210240013908</t>
  </si>
  <si>
    <t>SGOS. PUCUJI EDGAR</t>
  </si>
  <si>
    <t>ALARCON GUERRERO HUGO LANDIVER</t>
  </si>
  <si>
    <t>ART. 386 INCISO 2.1</t>
  </si>
  <si>
    <t>23281-2026-07967-OFICIO-05409-2026</t>
  </si>
  <si>
    <t>TNTE. JORDAN STALIN JAYA VARGAS</t>
  </si>
  <si>
    <t>JAA1752</t>
  </si>
  <si>
    <t>AK8JRSA-RETARD AC 7.7 1P 4X2 TM DIESEL</t>
  </si>
  <si>
    <t>JHDAK8JRSGXX13635</t>
  </si>
  <si>
    <t>J08EUD25396</t>
  </si>
  <si>
    <t>SUAREZ CONTRERA YANET MARYURU</t>
  </si>
  <si>
    <t>OF. No. FPSD-FEAT1-0258-2026-0001966-O</t>
  </si>
  <si>
    <t>0801624610</t>
  </si>
  <si>
    <t>TAA3401</t>
  </si>
  <si>
    <t>YUTONG</t>
  </si>
  <si>
    <t>ZK6129HE EXTENDIDO AC 10.8 1P 4X2 TM DIESEL</t>
  </si>
  <si>
    <t>LZYTNTF62E1001183</t>
  </si>
  <si>
    <t>´2026061800331883308</t>
  </si>
  <si>
    <t>CBOS. MADRUÑERO ALEX</t>
  </si>
  <si>
    <t>HECTOR ISRAEL BABAYO HARO</t>
  </si>
  <si>
    <t>18461-2026-02227-OFICIO-02600-2026</t>
  </si>
  <si>
    <t>BANCO PICHINCHA</t>
  </si>
  <si>
    <t>CBOP. ITALO CEDEÑO</t>
  </si>
  <si>
    <t>GBO5004</t>
  </si>
  <si>
    <t>TRAILER</t>
  </si>
  <si>
    <t>AUMAN EST BJ4189 HIGH ROOF AC 10.5 2P 4X2 TM DIESE</t>
  </si>
  <si>
    <t>LVBS6PEBXRT500725</t>
  </si>
  <si>
    <t>ISGE335077512280</t>
  </si>
  <si>
    <t>´2026061800550850208</t>
  </si>
  <si>
    <t>MOYA GOMEZ JOSE DANIEL</t>
  </si>
  <si>
    <t>OF. No . 2844-2026-FGE-UFSDT</t>
  </si>
  <si>
    <t>TCRNL. GALEANO ANDRADE EDISON EDUARDO</t>
  </si>
  <si>
    <t>PTL0970</t>
  </si>
  <si>
    <t>INTERNACIONAL</t>
  </si>
  <si>
    <t>4700 4X2</t>
  </si>
  <si>
    <t>1HTSCARR2WH548534</t>
  </si>
  <si>
    <t>S9HM2U1067427</t>
  </si>
  <si>
    <t>´2026061809194716316</t>
  </si>
  <si>
    <t xml:space="preserve">EXTRACTORA AGRICOLA RIO MANSO EXA S.A. </t>
  </si>
  <si>
    <t>OF. No. FPSD-FEAT1-0258-2026-0002443-O</t>
  </si>
  <si>
    <t>SEGOVIA RUIZ CARLOS ALBERTO</t>
  </si>
  <si>
    <t>1307482693</t>
  </si>
  <si>
    <t>AGENTE JONATHAN MAURICIO VAICILLAGAROFALO</t>
  </si>
  <si>
    <t>PAE5655</t>
  </si>
  <si>
    <t>HOWO T5G ZZ1167M501GC1 AC 6.9 2P 4X2 TM DIESEL</t>
  </si>
  <si>
    <t>LZZ1BBKF4TA195949</t>
  </si>
  <si>
    <t>ORTIZ GARCIA VALERIA ALEJANDRA</t>
  </si>
  <si>
    <t>XAG0291</t>
  </si>
  <si>
    <t>AK8JRSA AC 7.7 2P 4X2 TM DIESEL</t>
  </si>
  <si>
    <t>JHDAK8JRSEXX11946</t>
  </si>
  <si>
    <t>J08EUD19611</t>
  </si>
  <si>
    <t>´2026062608132225302</t>
  </si>
  <si>
    <t>SGOP. ROJAS WALTER ROBINSON</t>
  </si>
  <si>
    <t>CEDEÑO YANEZ HUGO FABIAN</t>
  </si>
  <si>
    <t>OF. No. FPSD-FEAT3-0609-2026-002142-O</t>
  </si>
  <si>
    <t>JBE1438</t>
  </si>
  <si>
    <t>XZU423L-HKMRD3</t>
  </si>
  <si>
    <t>9F3YT20H6B6000370</t>
  </si>
  <si>
    <t>N04CTT21100</t>
  </si>
  <si>
    <t>´202606270306365907</t>
  </si>
  <si>
    <t xml:space="preserve">CBOP. IZURIETA MERINO DENNIS </t>
  </si>
  <si>
    <t>JOSE MARIO ZAMBRANO MENDOZA</t>
  </si>
  <si>
    <t>IAI3101</t>
  </si>
  <si>
    <t>AK8JRSA 7,7 4X2 TM DIESEL</t>
  </si>
  <si>
    <t>JHDAK8JRSLXX18174</t>
  </si>
  <si>
    <t>J08EUD34642</t>
  </si>
  <si>
    <t>´2026062708383249212</t>
  </si>
  <si>
    <t>POLI. NEVAREZ MENDOZA LUIS ANGEL</t>
  </si>
  <si>
    <t>MENDOZA RENDON ORLANDO ALEJANDRO</t>
  </si>
  <si>
    <t>ART. 389 NUMERAL 7</t>
  </si>
  <si>
    <t>OF. No. PN-SZSDT-JPCTV-DIG-2026-186-O</t>
  </si>
  <si>
    <t>GUANOTUÑA QUINALUISA MANUEL ISAIAS</t>
  </si>
  <si>
    <t>0502246978</t>
  </si>
  <si>
    <t>KAA2251</t>
  </si>
  <si>
    <t>HOWO T5G ZZ1167N501GC1R AC 6.9 2P</t>
  </si>
  <si>
    <t>LZZ1BBMG5PW962884</t>
  </si>
  <si>
    <t>220107804107</t>
  </si>
  <si>
    <t>´2026063001540128411</t>
  </si>
  <si>
    <t>ARMIJOS GODOY JAHANNA NOEMI</t>
  </si>
  <si>
    <t>OF. No. PN-SZSDT-JPCTV-DIG-2026-169-O</t>
  </si>
  <si>
    <t>0703663534</t>
  </si>
  <si>
    <t>AAA2132</t>
  </si>
  <si>
    <t>T800 CLASSIC</t>
  </si>
  <si>
    <t>1XKDD40X1DJ717098</t>
  </si>
  <si>
    <t>´2026070610334185509</t>
  </si>
  <si>
    <t>SGOS. RODRIGUES JORGE</t>
  </si>
  <si>
    <t>GUERRA NARVAEZ YOLANDA ROSARIO</t>
  </si>
  <si>
    <t>OF. No. PN-SZSDT-JPCTV-DIG-2026-179-O</t>
  </si>
  <si>
    <t>0401069794</t>
  </si>
  <si>
    <t>CBOP. SOLORZANO PEDRO</t>
  </si>
  <si>
    <t>PQQ0425</t>
  </si>
  <si>
    <t>JHDFC4JJU7XX12233</t>
  </si>
  <si>
    <t>J05CTF14877</t>
  </si>
  <si>
    <t>2026070910554584516</t>
  </si>
  <si>
    <t>SGOS. CASTRO CONCHA CARLOS ELIAS</t>
  </si>
  <si>
    <t>CABSCANGO CHAVEZ LUIS GERMAN</t>
  </si>
  <si>
    <t>1002879417</t>
  </si>
  <si>
    <t>PDX5967</t>
  </si>
  <si>
    <t>FVR 1730 EIII LARGO AC 7.8 2P 4X2 TM</t>
  </si>
  <si>
    <t>Z2022</t>
  </si>
  <si>
    <t>JALFWR347N7000577</t>
  </si>
  <si>
    <t>6HK1249552</t>
  </si>
  <si>
    <t>2026070901480898413</t>
  </si>
  <si>
    <t>SIGMAEC CIA. LTDA.</t>
  </si>
  <si>
    <t>OF. No. FPSD-FEAT1-0258-2026-0002450-O</t>
  </si>
  <si>
    <t>1719633438</t>
  </si>
  <si>
    <t>XAA4034</t>
  </si>
  <si>
    <t>JHDAK8JRSLXX18135</t>
  </si>
  <si>
    <t>J08EUD34600</t>
  </si>
  <si>
    <t>2026071409104162713</t>
  </si>
  <si>
    <t>SGOS. ROJAS ROSAS GANDY DANIEL</t>
  </si>
  <si>
    <t>ROMERO ABARCA DENNISE ESTEFANIA</t>
  </si>
  <si>
    <t>OF. No. PN-SZSDT-JPCTV-DIG-2026-188-O</t>
  </si>
  <si>
    <t>PPC3401</t>
  </si>
  <si>
    <t>HYUNDAI</t>
  </si>
  <si>
    <t>D4DB5240396</t>
  </si>
  <si>
    <t>KMFGA17BP5C013270</t>
  </si>
  <si>
    <t>2026071703415419318</t>
  </si>
  <si>
    <t>GUACHICULLCA ARIAS LUIS</t>
  </si>
  <si>
    <t>ART. 386 INCISO 2 #2</t>
  </si>
  <si>
    <t>23281-2026-10124-OFICIO-08198-2026</t>
  </si>
  <si>
    <t>1723801773</t>
  </si>
  <si>
    <t>PFU5200</t>
  </si>
  <si>
    <t>HOWO NKS ZZ1048D3314C145 AC 2.3 2P</t>
  </si>
  <si>
    <t>D226C009031</t>
  </si>
  <si>
    <t>202608010108376010</t>
  </si>
  <si>
    <t xml:space="preserve">MONTESDEOCA CEDEÑO JENNY </t>
  </si>
  <si>
    <t>ABC6106</t>
  </si>
  <si>
    <t>NHR 2.7 2P 4X2 TM DIESEL</t>
  </si>
  <si>
    <t>2026080101021636711</t>
  </si>
  <si>
    <t xml:space="preserve">GOMEZ TORRES FRANCISCO </t>
  </si>
  <si>
    <t>PDE3588</t>
  </si>
  <si>
    <t>GD8JL7A AC 7.7 2P 4X2 TM DIESEL</t>
  </si>
  <si>
    <t>J08EWH12777</t>
  </si>
  <si>
    <t>2026080211584378801</t>
  </si>
  <si>
    <t>CBOP. MEZA CARLOS</t>
  </si>
  <si>
    <t>CHARIGUAMAN CHILENO WILLIAM ROLANDO</t>
  </si>
  <si>
    <t>PAB3080</t>
  </si>
  <si>
    <t>FTR 34P 7.8 2P 4X2 TM DIESEL</t>
  </si>
  <si>
    <t>6HK1214815</t>
  </si>
  <si>
    <t>2026080310181236512</t>
  </si>
  <si>
    <t>CARANQUI PAUCAR MARIA PIEDAD</t>
  </si>
  <si>
    <t>ICL0476</t>
  </si>
  <si>
    <t>MITSUBISHI</t>
  </si>
  <si>
    <t>CANTER 6.5 TON</t>
  </si>
  <si>
    <t>4D34L06754</t>
  </si>
  <si>
    <t>2026080400594175009</t>
  </si>
  <si>
    <t>MIRIAN MARLENE YANEZ GUIZADO</t>
  </si>
  <si>
    <t>CBOS. CHALA ANDERSON</t>
  </si>
  <si>
    <t>INORME TECNICO PERICIAL DE EVALUO TECNICO MECANICO Y RECONOCIMIENTO DE DAÑOS MATERIALES (TIPO B)</t>
  </si>
  <si>
    <t>POLI. ANDI GREFA LEANDRO</t>
  </si>
  <si>
    <t>INORME TECNICO PERICIAL DE EVALUO TECNICO MECANICO Y RECONOCIMIENTO DE DAÑOS MATERIALES</t>
  </si>
  <si>
    <t>SGOS. BARCENES FREDY</t>
  </si>
  <si>
    <t>COMANDO GENERAL</t>
  </si>
  <si>
    <t xml:space="preserve">INVENTARIO DOCUMENTAL DE TRANSFERENCIA PRIMARIA </t>
  </si>
  <si>
    <t>SECCIÓN:</t>
  </si>
  <si>
    <t>SUB SECCIÓN:</t>
  </si>
  <si>
    <t>Patio de retención vehicular</t>
  </si>
  <si>
    <t>FECHAS EXTREMAS</t>
  </si>
  <si>
    <t>UBICACIÓN TOPOGRÁFICA</t>
  </si>
  <si>
    <t>SERIE /SUBSERIE DOCUMENTAL</t>
  </si>
  <si>
    <t>N° CAJA</t>
  </si>
  <si>
    <t>N° DE EXPEDIENTE</t>
  </si>
  <si>
    <t>DESCRIPCIÓN</t>
  </si>
  <si>
    <t>APERTURA</t>
  </si>
  <si>
    <t>CIERRE</t>
  </si>
  <si>
    <t>N° FOJAS</t>
  </si>
  <si>
    <t>SOPORTE</t>
  </si>
  <si>
    <t>ZONA</t>
  </si>
  <si>
    <t>ESTANTERÍA</t>
  </si>
  <si>
    <t>BANDEJA</t>
  </si>
  <si>
    <t>OBSERVACIONES</t>
  </si>
  <si>
    <t>PLACA (CLAVE DE VÍNCULO)</t>
  </si>
  <si>
    <t xml:space="preserve">Eliminación </t>
  </si>
  <si>
    <t xml:space="preserve">Fisico </t>
  </si>
  <si>
    <t>0002_2026</t>
  </si>
  <si>
    <t>0003_2026</t>
  </si>
  <si>
    <t>0004_2026</t>
  </si>
  <si>
    <t>0005_2026</t>
  </si>
  <si>
    <t>0006_2026</t>
  </si>
  <si>
    <t>0007_2026</t>
  </si>
  <si>
    <t>0008_2026</t>
  </si>
  <si>
    <t>0009_2026</t>
  </si>
  <si>
    <t>0010_2026</t>
  </si>
  <si>
    <t>0011_2026</t>
  </si>
  <si>
    <t>0012_2026</t>
  </si>
  <si>
    <t>0013_2026</t>
  </si>
  <si>
    <t>0014_2026</t>
  </si>
  <si>
    <t>0015_2026</t>
  </si>
  <si>
    <t>la fecha de elaboracion del parte es 26/02/2026</t>
  </si>
  <si>
    <t>0016_2026</t>
  </si>
  <si>
    <t>0017_2026</t>
  </si>
  <si>
    <t>0018_2026</t>
  </si>
  <si>
    <t>0019_2026</t>
  </si>
  <si>
    <t>0020_2026</t>
  </si>
  <si>
    <t>0021_2026</t>
  </si>
  <si>
    <t>0022_2026</t>
  </si>
  <si>
    <t>0023_2026</t>
  </si>
  <si>
    <t>0024_2026</t>
  </si>
  <si>
    <t>0025_2026</t>
  </si>
  <si>
    <t>la fecha de elaboracion del parte es 23/08/2026</t>
  </si>
  <si>
    <t>0026_2026</t>
  </si>
  <si>
    <t>0027_2026</t>
  </si>
  <si>
    <t>0028_2026</t>
  </si>
  <si>
    <t>0029_2026</t>
  </si>
  <si>
    <t>0030_2026</t>
  </si>
  <si>
    <t>* General, de transferencia (primaria o secundaria) o baja documental</t>
  </si>
  <si>
    <t>Inventario Elaborado por:</t>
  </si>
  <si>
    <t>Transferencia o baja aprobada por:</t>
  </si>
  <si>
    <t>Transferencia o baja autorizado por:</t>
  </si>
  <si>
    <t>AMADA CONDDOY</t>
  </si>
  <si>
    <t xml:space="preserve">CBOP. DE POLICIA </t>
  </si>
  <si>
    <t>Firma</t>
  </si>
  <si>
    <t>Nombre</t>
  </si>
  <si>
    <t>Grado</t>
  </si>
  <si>
    <t>Cargo</t>
  </si>
  <si>
    <t>C.C.</t>
  </si>
  <si>
    <t>g</t>
  </si>
  <si>
    <t>POLICÍA NACIONAL DEL ECUADOR
COMANDO GENERAL</t>
  </si>
  <si>
    <t>ETIQUETA DE CAJA</t>
  </si>
  <si>
    <t>CAJA N°1</t>
  </si>
  <si>
    <t xml:space="preserve">LOGISTICA </t>
  </si>
  <si>
    <t>ACTIVOS FIJOS</t>
  </si>
  <si>
    <t xml:space="preserve">OFICIOS </t>
  </si>
  <si>
    <t>RECIBIDOS</t>
  </si>
  <si>
    <t>Nro. DE EXPEDIENTES</t>
  </si>
  <si>
    <t>FECHA INICIO</t>
  </si>
  <si>
    <t>O1%O1/2015</t>
  </si>
  <si>
    <t xml:space="preserve">FECHA FIN </t>
  </si>
  <si>
    <t>ÍNDICE DE FONDOS ACUMULADOS</t>
  </si>
  <si>
    <t>OFICIOS ENVIADOS ENERO 2015</t>
  </si>
  <si>
    <t>TOMO N° 000</t>
  </si>
  <si>
    <t>NÚMERO DE
 FOJAS</t>
  </si>
  <si>
    <t>FECHA</t>
  </si>
  <si>
    <t>ASUNTO</t>
  </si>
  <si>
    <t xml:space="preserve"> TOTAL DE FOLIOS </t>
  </si>
  <si>
    <t>SOPORTE
 DOCUMENTAL</t>
  </si>
  <si>
    <t>77-81</t>
  </si>
  <si>
    <t xml:space="preserve">CASO 30S SGOP XXX </t>
  </si>
  <si>
    <t>papel</t>
  </si>
  <si>
    <t>Lista bancos</t>
  </si>
  <si>
    <t>Lista marcas</t>
  </si>
  <si>
    <t>Lista colores</t>
  </si>
  <si>
    <t>LISTA DE JEFES</t>
  </si>
  <si>
    <t>CUSTODIOS</t>
  </si>
  <si>
    <t>SERVIDORES POLICIALES</t>
  </si>
  <si>
    <t>PERITOS</t>
  </si>
  <si>
    <t>ACCIONES PERITALES</t>
  </si>
  <si>
    <t>TARIFARIO</t>
  </si>
  <si>
    <t>CAUSAS</t>
  </si>
  <si>
    <t>LISTA TIPOS DE VEHICULO</t>
  </si>
  <si>
    <t>AGENCIA NACIONAL DE TRANSITO ANT PUNTO VENTA: ARY RECAUDACIONES</t>
  </si>
  <si>
    <t>BAIC</t>
  </si>
  <si>
    <t>CHERRY</t>
  </si>
  <si>
    <t>SERVICIO DE GARAJE (CENTROS DE RETENCIÓN) MOTOCICLETA</t>
  </si>
  <si>
    <t>BANCO DEL PACIFICO-MI NEGOCIO EFECTIVO</t>
  </si>
  <si>
    <t>CHERY</t>
  </si>
  <si>
    <t>FISCAL. AB. ROLANDO SOLIZ SANCHEZ</t>
  </si>
  <si>
    <t>BANCO DEL PACIFICO/MI NEGOCIO EFECTIVO</t>
  </si>
  <si>
    <t>FREIGTHLINER</t>
  </si>
  <si>
    <t>CREMA</t>
  </si>
  <si>
    <t>CBOS. ZAMBRANO JAVIER</t>
  </si>
  <si>
    <t>POLI. ZAMBRANO JEAN CARLOS</t>
  </si>
  <si>
    <t>CITROEN</t>
  </si>
  <si>
    <t>PLATA</t>
  </si>
  <si>
    <t>SGOP. CALAZACON CARLOS</t>
  </si>
  <si>
    <t>CBOP JARAMILLO CARLOS</t>
  </si>
  <si>
    <t>BANCO PACIFICO - PAGO AGIL</t>
  </si>
  <si>
    <t>DFSK</t>
  </si>
  <si>
    <t>SGOS. ALDAS ERAZO AMABLE</t>
  </si>
  <si>
    <t>CBO JARAMILLO CARLOS</t>
  </si>
  <si>
    <t>TCNO. MARTIN FRANCESCO AGUILLON AGUILLON</t>
  </si>
  <si>
    <t>DONGFENG</t>
  </si>
  <si>
    <t>CBOP. ROMERO PATRICIO</t>
  </si>
  <si>
    <t>AGENTE 4 TNCO. MARTIN FRANCESCO AGUILLON AGUILLION</t>
  </si>
  <si>
    <t>FAW</t>
  </si>
  <si>
    <t>CBOS. MUYULEMA WILLIAM</t>
  </si>
  <si>
    <t>BANCO PICHINCHA Y BANCO PACIFICO</t>
  </si>
  <si>
    <t>FIAT</t>
  </si>
  <si>
    <t>VINO</t>
  </si>
  <si>
    <t>CBOP. GUERRERO DANIEL</t>
  </si>
  <si>
    <t>CBOP CARLOS JARAMILLO</t>
  </si>
  <si>
    <t>AB. ALVARO ADRIAN VARGAS VERA</t>
  </si>
  <si>
    <t>CBOP. LARA WUILLIAN</t>
  </si>
  <si>
    <t>POLI.LICOA ROGGER</t>
  </si>
  <si>
    <t>CBOP. VICTOR DAMIAN ARIAS</t>
  </si>
  <si>
    <t>SGOP. PASTUÑA JAIME</t>
  </si>
  <si>
    <t>POLI. GOMEZ PAUL</t>
  </si>
  <si>
    <t>AGENTE CTE. AGUILLON MARTIN</t>
  </si>
  <si>
    <t>GREAT WAIL</t>
  </si>
  <si>
    <t>POLI. LICOA ROGGER</t>
  </si>
  <si>
    <t>MARTIN FRANCESCO AGUILLON</t>
  </si>
  <si>
    <t>MI NEGOCIO EFECTIVO Y PAGO AGIL</t>
  </si>
  <si>
    <t>GREAT WALL</t>
  </si>
  <si>
    <t>SGOS. RODRIGUEZ LUIS</t>
  </si>
  <si>
    <t xml:space="preserve">CBOP. ROBERTO FABRICIO SARANGO ROSADO </t>
  </si>
  <si>
    <t>CBOP. TUALOMBO GEOVANY</t>
  </si>
  <si>
    <t>SGOS. GAIBOR ELMER</t>
  </si>
  <si>
    <t>AGENTE EDER ALDAZ CTE</t>
  </si>
  <si>
    <t>HIUNDAY</t>
  </si>
  <si>
    <t>CBOP. ARIAS VICTOR</t>
  </si>
  <si>
    <t>PAGO AGIL</t>
  </si>
  <si>
    <t>SGOP. RICHARD LOPEZ</t>
  </si>
  <si>
    <t>AGENTE 1 ABG.EDGAR OLMEDO VASQUEZ</t>
  </si>
  <si>
    <t>PAGO AGIL-PAGO EN LA PAGINA PAGOS EN LINEA ANT</t>
  </si>
  <si>
    <t>ISUZU</t>
  </si>
  <si>
    <t>SGOS. ALVARO ARIAS</t>
  </si>
  <si>
    <t>AGENTE CTE. VELA LUIS</t>
  </si>
  <si>
    <t>CBOS. SANCHEZ MIGUEL</t>
  </si>
  <si>
    <t>AGENTE CTE LUIS VELA FLORES</t>
  </si>
  <si>
    <t>TRANSFERENCIA BANCARIA BANCO DEL PACIFICO</t>
  </si>
  <si>
    <t>WESTERN UNION</t>
  </si>
  <si>
    <t>KIA</t>
  </si>
  <si>
    <t>CBOS. SANCHEZ ANGEL</t>
  </si>
  <si>
    <t>KYC</t>
  </si>
  <si>
    <t>SGOS. CARCHI WILBER</t>
  </si>
  <si>
    <t>TILZO NEYARROYO BORJA</t>
  </si>
  <si>
    <t>MAXUS</t>
  </si>
  <si>
    <t>SGOS. CASTELLANO LUIS</t>
  </si>
  <si>
    <t>AGENTE MACIAS GUERRA JORGE</t>
  </si>
  <si>
    <t>MAZDA</t>
  </si>
  <si>
    <t>SGOP. GUERRERO SANTIAGO</t>
  </si>
  <si>
    <t>ROBERT GAROFALO RAMOS</t>
  </si>
  <si>
    <t>SGOP. BENALCAZAR LUIS</t>
  </si>
  <si>
    <t>CBOP SARANGO ROBERTO</t>
  </si>
  <si>
    <t>SGOS. CURICHO FRANKLIN</t>
  </si>
  <si>
    <t>RAMIREZ VELASTEGUI SANTIAGO</t>
  </si>
  <si>
    <t>SGOS. CARLOSCALAZACON</t>
  </si>
  <si>
    <t>MILTON ANTONIO BRAVO BRIONES</t>
  </si>
  <si>
    <t>RENAULT</t>
  </si>
  <si>
    <t>SGOS. MOLINA JAIME</t>
  </si>
  <si>
    <t>CBOP. SEGOVIA MARCOS</t>
  </si>
  <si>
    <t>CBOP SEGOVIA MARCOS</t>
  </si>
  <si>
    <t>CESAR ERNESTO GUINGLA ARRA</t>
  </si>
  <si>
    <t>SOUEAST</t>
  </si>
  <si>
    <t>CBOP. HERRERA HERMEL</t>
  </si>
  <si>
    <t>CBOS. JIMENEZ JORGE</t>
  </si>
  <si>
    <t>CBOP. LOPEZ WASHINGTON</t>
  </si>
  <si>
    <t>CBOP. JULIO REA FREIRE</t>
  </si>
  <si>
    <t>TOYOTA</t>
  </si>
  <si>
    <t>SGOS. WILSON LOJAN</t>
  </si>
  <si>
    <t>CBOP. REA JULIO</t>
  </si>
  <si>
    <t>SBOS. CAICEDO ULBER</t>
  </si>
  <si>
    <t>CPTN. IZA ESTEBAN</t>
  </si>
  <si>
    <t>CBOP. LOPEZ CHIMBORAZO WASHINGTON</t>
  </si>
  <si>
    <t>SGOS. FERNADO TOAZA TINTUÑA</t>
  </si>
  <si>
    <t>SGOS. LOJAN WILSON</t>
  </si>
  <si>
    <t>CBOP. TANDALLA MIGUEL</t>
  </si>
  <si>
    <t>POLI. MORAN KEVIN</t>
  </si>
  <si>
    <t>SGO.VARGAS SOLANO FREDDY</t>
  </si>
  <si>
    <t>CBOP. MARIN ANGEL</t>
  </si>
  <si>
    <t>SGOS. PABLO TOAZA</t>
  </si>
  <si>
    <t>SGOS. EDGAR PILCO</t>
  </si>
  <si>
    <t>SGOS. VILLACRES GUAPILEMA DARWIN DUVAL</t>
  </si>
  <si>
    <t>CBOP. BRIONES INTRIAGO JONATHAN DAVID</t>
  </si>
  <si>
    <t>SGOS CARCHI WILBER</t>
  </si>
  <si>
    <t>POLI. CASTRO BYRON</t>
  </si>
  <si>
    <t>SGOP. VELASCO FREDDY</t>
  </si>
  <si>
    <t>SGOS. GUILCAMAIGUA BUNCHI LUIS ANIBAL</t>
  </si>
  <si>
    <t>CBOS. LOPEZ DENIS</t>
  </si>
  <si>
    <t>CBOP. JORGE NARANJO</t>
  </si>
  <si>
    <t>SGOP. SAMIR VELASCO</t>
  </si>
  <si>
    <t>CBOP. MELENDRES VICTOR</t>
  </si>
  <si>
    <t>CBOS. OCHOA ALEX</t>
  </si>
  <si>
    <t>CENTRO DE RETENCIÓN VEHICULAR "TRES MARIAS PORTOVIEJO 2024"</t>
  </si>
  <si>
    <t>PARTE ELABORADO POR (QUIEN TOMA PROCEDIMIENTO)</t>
  </si>
  <si>
    <t xml:space="preserve">DIAS DE PARQUEO </t>
  </si>
  <si>
    <t>LA BURNEO</t>
  </si>
  <si>
    <t>AB499Z</t>
  </si>
  <si>
    <t>YAMAHA</t>
  </si>
  <si>
    <t>MTN320</t>
  </si>
  <si>
    <t>MH3RH07P3JK005283</t>
  </si>
  <si>
    <t>H402E0053030</t>
  </si>
  <si>
    <t>2025051708374536802</t>
  </si>
  <si>
    <t>CBOP. CEDEÑO MARLON</t>
  </si>
  <si>
    <t>CABRERA JURADO NARCISA DE JESUS</t>
  </si>
  <si>
    <t>OFICIO No. FPSD-FEAT2-0608-2025-002034-O</t>
  </si>
  <si>
    <t>FISCAL. VASQUES SANABRIA ANA PATRICIAA</t>
  </si>
  <si>
    <t>0801652009</t>
  </si>
  <si>
    <t>250528000631</t>
  </si>
  <si>
    <t>JX808Z</t>
  </si>
  <si>
    <t>ICS</t>
  </si>
  <si>
    <t>150S</t>
  </si>
  <si>
    <t>LV7MGZ400PA901558</t>
  </si>
  <si>
    <t>162FMJQQ23001090</t>
  </si>
  <si>
    <t>2025051907375146207</t>
  </si>
  <si>
    <t>CBOP. NAJERA HENRY</t>
  </si>
  <si>
    <t>GARCIA BARRE FLERIDA CLARA</t>
  </si>
  <si>
    <t>MEMORANDO N.- PN-SZSDT-JCTSV-DESP-2025-847-M.</t>
  </si>
  <si>
    <t>1311600751</t>
  </si>
  <si>
    <t>CBOS. MUYULEMA MUYULEMA WILLIAM PATRICIO</t>
  </si>
  <si>
    <t>16768863</t>
  </si>
  <si>
    <t>IX172Z</t>
  </si>
  <si>
    <t>IGM</t>
  </si>
  <si>
    <t>IM250DB</t>
  </si>
  <si>
    <t>LY4YCNLV6L0B17803</t>
  </si>
  <si>
    <t>166FMMLM016109</t>
  </si>
  <si>
    <t>2025052506440661510</t>
  </si>
  <si>
    <t>CBOS. YANKUR ROMEL</t>
  </si>
  <si>
    <t>BRAVO VACA ELVIS</t>
  </si>
  <si>
    <t>MEMORANDO No. PN-SZSDT-JPCTSV-LI-2025-005-M</t>
  </si>
  <si>
    <t>SUBS. CAICEDO SEGURA ULBER CARLOS</t>
  </si>
  <si>
    <t>250526002491</t>
  </si>
  <si>
    <t>IA833Y</t>
  </si>
  <si>
    <t>LONCIN</t>
  </si>
  <si>
    <t>LX250GY-3G</t>
  </si>
  <si>
    <t>LLCLGM3M0SA500132</t>
  </si>
  <si>
    <t>LC171YMM380364Q3</t>
  </si>
  <si>
    <t>2025052510020915500</t>
  </si>
  <si>
    <t>AGREDA PINEDA AMERICA</t>
  </si>
  <si>
    <t>MEMORANDO No. PN-SZSDT-JPCTSV-2025-212-M</t>
  </si>
  <si>
    <t>AGREDA INEDA AMERICA</t>
  </si>
  <si>
    <t>0703240234</t>
  </si>
  <si>
    <t>202506182712420</t>
  </si>
  <si>
    <t>AE370D</t>
  </si>
  <si>
    <t>YB125</t>
  </si>
  <si>
    <t>LBPKE0977J0510782</t>
  </si>
  <si>
    <t>JYM154FMI18060633</t>
  </si>
  <si>
    <t>2025052507542287317</t>
  </si>
  <si>
    <t>YOLANDA MARIBEL CALDERON BAÑO</t>
  </si>
  <si>
    <t>MEMORANDO No. PN-SZSDT-JPCTSV-LI-2025-006-M</t>
  </si>
  <si>
    <t>0801828211</t>
  </si>
  <si>
    <t>56587022</t>
  </si>
  <si>
    <t>KM281F</t>
  </si>
  <si>
    <t>TUNDRA</t>
  </si>
  <si>
    <t>CROSSX200I</t>
  </si>
  <si>
    <t>8LRYCML09S0016294</t>
  </si>
  <si>
    <t>AD163FMLS0016202</t>
  </si>
  <si>
    <t>2025052903593518210</t>
  </si>
  <si>
    <t>CPTN. IZA RODNEY</t>
  </si>
  <si>
    <t>JIMENEZ ARAUJO NIEVES CONSUELO</t>
  </si>
  <si>
    <t>MEMORANDO No. PN-SZSDT-JPCTSV-2025-153-M</t>
  </si>
  <si>
    <t>202505315630320</t>
  </si>
  <si>
    <t>JP472V</t>
  </si>
  <si>
    <t>TVS</t>
  </si>
  <si>
    <t>TVS APACHE RTR 160 4V</t>
  </si>
  <si>
    <t>MD637AE74N2AB2143</t>
  </si>
  <si>
    <t>CE7AN29S0113</t>
  </si>
  <si>
    <t>2025053001363154509</t>
  </si>
  <si>
    <t xml:space="preserve">SGOS. PINZON DIEGO </t>
  </si>
  <si>
    <t>GAIBOR FIGUEROA DAVID</t>
  </si>
  <si>
    <t>MEMORANDO No. PN-SZSDT-JPCTSV-2025-228-M</t>
  </si>
  <si>
    <t>CPTN. RODNEY IZA VILLENA</t>
  </si>
  <si>
    <t>1724881717</t>
  </si>
  <si>
    <t>2750287194</t>
  </si>
  <si>
    <t>HD569W</t>
  </si>
  <si>
    <t>AX100</t>
  </si>
  <si>
    <t>9FSBE11A36C184075</t>
  </si>
  <si>
    <t>1E50FMGS0010209</t>
  </si>
  <si>
    <t>2025053109404766307</t>
  </si>
  <si>
    <t>CBOP. ARELLANO JUAN</t>
  </si>
  <si>
    <t>VILLA CHUMO JEFFERSON</t>
  </si>
  <si>
    <t>KA329R</t>
  </si>
  <si>
    <t>BENELLI</t>
  </si>
  <si>
    <t>180S</t>
  </si>
  <si>
    <t>VERDE</t>
  </si>
  <si>
    <t>LBBM62005PBE29805</t>
  </si>
  <si>
    <t>BJ164MKA12122887</t>
  </si>
  <si>
    <t>2025060806152991300</t>
  </si>
  <si>
    <t>SGOS. PILCO CARRAZCO</t>
  </si>
  <si>
    <t>PERALTA SARANGO DYLAN</t>
  </si>
  <si>
    <t>OFICIO No. FPSD-FEAT3-0609-2025-001591-O</t>
  </si>
  <si>
    <t>PERALTA CAIZA LUIS GEOVANNY</t>
  </si>
  <si>
    <t>1713632634</t>
  </si>
  <si>
    <t>INFORME TECNICO PERICIALDE DAÑOS MATERIALES Y MECANICOS FORENSES (TIPO B)</t>
  </si>
  <si>
    <t>SGOS. CALDERON CRUZ DANILO</t>
  </si>
  <si>
    <t>2760325966</t>
  </si>
  <si>
    <t>KC770E</t>
  </si>
  <si>
    <t>THUNDER</t>
  </si>
  <si>
    <t>FALCON</t>
  </si>
  <si>
    <t>8LMC120M1RMA06216</t>
  </si>
  <si>
    <t>OP162FMJT0000645</t>
  </si>
  <si>
    <t>202506150805504501</t>
  </si>
  <si>
    <t xml:space="preserve">VARGAS CASTRO VERONICA </t>
  </si>
  <si>
    <t>OFICIO No. FPSD-FEAT2-0608-2025-002460-O</t>
  </si>
  <si>
    <t>VARGAS CASTRO VERONICA ALEXANDRA</t>
  </si>
  <si>
    <t>SGOS. BARCENES RAMIREZ FREDDY EDUARDO</t>
  </si>
  <si>
    <t>SERVIAGOS AGENTE</t>
  </si>
  <si>
    <t>IZ136M</t>
  </si>
  <si>
    <t>BAJAJ</t>
  </si>
  <si>
    <t>PULSAR 180</t>
  </si>
  <si>
    <t>MD2A12DYXLCE00497</t>
  </si>
  <si>
    <t>DJYCKE00459</t>
  </si>
  <si>
    <t>2025061911115351311</t>
  </si>
  <si>
    <t>LOOR LOOR MARIELA</t>
  </si>
  <si>
    <t>OFICIO No. FPSD-FEAT1-0258-2025-002971-O</t>
  </si>
  <si>
    <t>1312106204</t>
  </si>
  <si>
    <t>INFORME TECNICO PERICIALDE DE AVALUO TECNICO MECANICO Y RECONOCIMIENTO DEDAÑOS MATERIALES</t>
  </si>
  <si>
    <t>SGOS. BARSENES FREDDY</t>
  </si>
  <si>
    <t>16386356</t>
  </si>
  <si>
    <t>HX970B</t>
  </si>
  <si>
    <t>TGN150</t>
  </si>
  <si>
    <t>LWPPCK3A6E8205336</t>
  </si>
  <si>
    <t>YH162FMJE8205336</t>
  </si>
  <si>
    <t>2025062109503949105</t>
  </si>
  <si>
    <t>CEDEÑO MARQUINEZ JORGE LUIS</t>
  </si>
  <si>
    <t>IL304H</t>
  </si>
  <si>
    <t>TUKO</t>
  </si>
  <si>
    <t>TK150-H</t>
  </si>
  <si>
    <t>LLCLPJ2H5G1500119</t>
  </si>
  <si>
    <t>LC162FMJNQ377776</t>
  </si>
  <si>
    <t>2025062403061325116</t>
  </si>
  <si>
    <t>MEDINA ROMERO BOLIVAR</t>
  </si>
  <si>
    <t>IZ127C</t>
  </si>
  <si>
    <t>MD2A12DY7LCC00712</t>
  </si>
  <si>
    <t>DJYCKC79845</t>
  </si>
  <si>
    <t>2025062510562446006</t>
  </si>
  <si>
    <t>GUAMAN GONGORA JOSE</t>
  </si>
  <si>
    <t>ART 385 #3</t>
  </si>
  <si>
    <t>KA668G</t>
  </si>
  <si>
    <t>MIG20</t>
  </si>
  <si>
    <t>8LMC127N2RMA02390</t>
  </si>
  <si>
    <t>TDR163FML23W90169</t>
  </si>
  <si>
    <t>2025063009471514903</t>
  </si>
  <si>
    <t>SGOS. CARCHI WIBER</t>
  </si>
  <si>
    <t>ARRAGA QUIJIJE EDWIN</t>
  </si>
  <si>
    <t>AXXO</t>
  </si>
  <si>
    <t>AX200</t>
  </si>
  <si>
    <t>LHJYCLLA8DB416209</t>
  </si>
  <si>
    <t>169FML13A02668</t>
  </si>
  <si>
    <t>2025063002213566106</t>
  </si>
  <si>
    <t>CBOP. CAIZA OBANDO JORGE</t>
  </si>
  <si>
    <t>HERNANDEZ SOLARTE ROSA</t>
  </si>
  <si>
    <t>OFICIO No. FSD-FEAT2-0608-2025-002825-O</t>
  </si>
  <si>
    <t>HERNANDEZ SOLARTE ROSA ELVIRA</t>
  </si>
  <si>
    <t>INFORME TECNICO PERICIALDE DE AVALUO TECNICO MECANICO Y RECONOCIMIENTO DEDAÑOS MATERIALES (TIPO B)</t>
  </si>
  <si>
    <t>202508024867820</t>
  </si>
  <si>
    <t>FA979L</t>
  </si>
  <si>
    <t>HONDA</t>
  </si>
  <si>
    <t>XR250 TORNADO</t>
  </si>
  <si>
    <t>9C2MD3400CR515935</t>
  </si>
  <si>
    <t>MD34EC512681</t>
  </si>
  <si>
    <t>2025070608412051511</t>
  </si>
  <si>
    <t>SGOS. ALDAZ ERAZO AMABLE</t>
  </si>
  <si>
    <t>GOYA MENDOZA ALEX</t>
  </si>
  <si>
    <t>OFICIO No. FPSD-FEAT3-0609-2025-001939-O</t>
  </si>
  <si>
    <t>0942038308</t>
  </si>
  <si>
    <t xml:space="preserve">INFORME TECNICO PERICIALDE DE AVALUO TECNICO MECANICO Y RECONOCIMIENTO DEDAÑOS MATERIALES </t>
  </si>
  <si>
    <t>250805003093</t>
  </si>
  <si>
    <t>JO173K</t>
  </si>
  <si>
    <t>GD115</t>
  </si>
  <si>
    <t>9FSNE43B3NC192597</t>
  </si>
  <si>
    <t>E467312942</t>
  </si>
  <si>
    <t>2025070601151329317</t>
  </si>
  <si>
    <t>CBOP. GUERREO DANIEL</t>
  </si>
  <si>
    <t>FARINANGO RUIZ LUIS GERARDO</t>
  </si>
  <si>
    <t>ART. 389 #7</t>
  </si>
  <si>
    <t xml:space="preserve"> No.23281-2025-13562-OFICIO-01380-2026</t>
  </si>
  <si>
    <t>1719177014</t>
  </si>
  <si>
    <t>0056536955</t>
  </si>
  <si>
    <t>JE680Y</t>
  </si>
  <si>
    <t>Z1</t>
  </si>
  <si>
    <t>Z1 GN150S</t>
  </si>
  <si>
    <t>LWPPCK3A7M8271201</t>
  </si>
  <si>
    <t>YH162FMJM8271201</t>
  </si>
  <si>
    <t>2025070601375312912</t>
  </si>
  <si>
    <t>VARELA LOEZ SARA CAROLINA</t>
  </si>
  <si>
    <t>ART 160</t>
  </si>
  <si>
    <t>IT749M</t>
  </si>
  <si>
    <t>DAYTONA</t>
  </si>
  <si>
    <t>DY150 ZERO</t>
  </si>
  <si>
    <t>LB5PM8S19JZ400365</t>
  </si>
  <si>
    <t>FT162FMJ2J1772515</t>
  </si>
  <si>
    <t>2025070606162079018</t>
  </si>
  <si>
    <t>ANGULO AGUAS BRYAN</t>
  </si>
  <si>
    <t>AC871R</t>
  </si>
  <si>
    <t>MOTOR 1</t>
  </si>
  <si>
    <t>SK200 FX200</t>
  </si>
  <si>
    <t>LP6PCM3B7D0F00232</t>
  </si>
  <si>
    <t>163FMLD5100844</t>
  </si>
  <si>
    <t>2025070802451954709</t>
  </si>
  <si>
    <t>SGOS. ARIAS EDISON</t>
  </si>
  <si>
    <t>MOROCHO POGO CESAR MIGUEL</t>
  </si>
  <si>
    <t>JY651X</t>
  </si>
  <si>
    <t>XR250 RAID</t>
  </si>
  <si>
    <t>LDLPCMLA0P1012280</t>
  </si>
  <si>
    <t>166FMMP0012280</t>
  </si>
  <si>
    <t>2025070706143174403</t>
  </si>
  <si>
    <t>GODOY ALVAREZ ROCIO DEL CARMEN</t>
  </si>
  <si>
    <t>MOTOCICLETA RECUPERADA</t>
  </si>
  <si>
    <t>REPORTADA COMO ROBADA</t>
  </si>
  <si>
    <t>SE RETIRA HASTA  EL PRV DE LA PJ</t>
  </si>
  <si>
    <t>TANGO QUININDE AL MANDO CBOP. TUALOMO GEOVANNY</t>
  </si>
  <si>
    <t>CBOP. SOLORZANO PEDRO PARTE DE LA NOVEDAD Nro. 2025070810581572003</t>
  </si>
  <si>
    <t>JU477O</t>
  </si>
  <si>
    <t>TD150G-AA</t>
  </si>
  <si>
    <t>8LACAKKC5N5083839</t>
  </si>
  <si>
    <t>JP162FMJ22E0423853</t>
  </si>
  <si>
    <t>2025071110222082411</t>
  </si>
  <si>
    <t>CBOP. TUALOMBO GEOVANNY</t>
  </si>
  <si>
    <t>GARAY LOOR BRYAN ADRIAN</t>
  </si>
  <si>
    <t>KA593Q</t>
  </si>
  <si>
    <t>DY150CRUCER</t>
  </si>
  <si>
    <t>HM0PCK1A0RA503913</t>
  </si>
  <si>
    <t>162FMJR3C23527</t>
  </si>
  <si>
    <t>2025071109523456309</t>
  </si>
  <si>
    <t>MATUTE PADILLA MAURICIO</t>
  </si>
  <si>
    <t>OFICIO No. FSD-FEAT2-0608-2025-002918-O</t>
  </si>
  <si>
    <t>NATUTE ADILLA MAURICIO JAVIER</t>
  </si>
  <si>
    <t>INFORME TECNICO PARCIAL DE DAÑOS MATERIALES Y MECANICOS FORENSE (TIPO B)</t>
  </si>
  <si>
    <t>CBOP. SARANGO ROSADO ROBERTO FABRICIO</t>
  </si>
  <si>
    <t>JN943U</t>
  </si>
  <si>
    <t>SHINERAY</t>
  </si>
  <si>
    <t>XY150-15</t>
  </si>
  <si>
    <t>LXYPCKL00PZ003319</t>
  </si>
  <si>
    <t>XY162FMJPG903649</t>
  </si>
  <si>
    <t>202507120016268013</t>
  </si>
  <si>
    <t>CBOP. CRUZ MIGUEL</t>
  </si>
  <si>
    <t>JUAN CEVALLOS RAMON</t>
  </si>
  <si>
    <t>JH947E</t>
  </si>
  <si>
    <t>Z-200</t>
  </si>
  <si>
    <t>LRYJCML01N0003256</t>
  </si>
  <si>
    <t>163FMLVC005009</t>
  </si>
  <si>
    <t>2025071410120745202</t>
  </si>
  <si>
    <t>BARROS CHILA WILTHER</t>
  </si>
  <si>
    <t>ART. 391 #5</t>
  </si>
  <si>
    <t>JK856P</t>
  </si>
  <si>
    <t>GN125</t>
  </si>
  <si>
    <t>9FSNF41B3MC318214</t>
  </si>
  <si>
    <t>157FMI3B2X99602</t>
  </si>
  <si>
    <t>2025071703201931906</t>
  </si>
  <si>
    <t>CARRIEL VERGARA ISAAC ARIEL</t>
  </si>
  <si>
    <t>MEMORANDO No. PN-SZSDT-JPCTSV-2025-339-M</t>
  </si>
  <si>
    <t>ALCIVAR SANCHEZ JOAN STEVEN</t>
  </si>
  <si>
    <t>IB079J</t>
  </si>
  <si>
    <t>TK200PRUSS</t>
  </si>
  <si>
    <t>LLCLGL308EAC36673</t>
  </si>
  <si>
    <t>LC163FMLMQ023481</t>
  </si>
  <si>
    <t>2025071703301282007</t>
  </si>
  <si>
    <t>ARREAGA ACOSTA RONNY NISBALDO</t>
  </si>
  <si>
    <t>KG223P</t>
  </si>
  <si>
    <t>TK CR300</t>
  </si>
  <si>
    <t>LD3CP6A2S2000051</t>
  </si>
  <si>
    <t>HJ172YMN25306383</t>
  </si>
  <si>
    <t>2025072000055355517</t>
  </si>
  <si>
    <t>ALBUJA AGUILAR KEVIN PATRICIO</t>
  </si>
  <si>
    <t>KK238N</t>
  </si>
  <si>
    <t>SUKIDA</t>
  </si>
  <si>
    <t>SKRS150</t>
  </si>
  <si>
    <t>LP6LCKA07S05M1071</t>
  </si>
  <si>
    <t>162FMJSM610354</t>
  </si>
  <si>
    <t>2025072111002116807</t>
  </si>
  <si>
    <t>CBOP. BONILLA PAUL</t>
  </si>
  <si>
    <t>QUIÑONEZ QUIÑONEZ JOSE DANIEL</t>
  </si>
  <si>
    <t>OFICIO No. FSD-FEAT2-0608-2025-003014-O</t>
  </si>
  <si>
    <t xml:space="preserve">BANCO DEL PICHINCHA </t>
  </si>
  <si>
    <t>KI969N</t>
  </si>
  <si>
    <t>LXYPCKL04SZ007236</t>
  </si>
  <si>
    <t>XY162FMJSF907236</t>
  </si>
  <si>
    <t>2025073006100881809</t>
  </si>
  <si>
    <t xml:space="preserve">CARRION ORDOÑEZ NAIN </t>
  </si>
  <si>
    <t>OFICIO No. FPSD-FEAT3-0609-2025-002041-O</t>
  </si>
  <si>
    <t>CARRION ORDOÑEZ NAIN</t>
  </si>
  <si>
    <t>2300812001</t>
  </si>
  <si>
    <t xml:space="preserve">INFORME TECNICO PERICIAL DE DE AVALUO TECNICO MECANICO Y RECONOCIMIENTO DE DAÑOS MATERIALES </t>
  </si>
  <si>
    <t>0022020087</t>
  </si>
  <si>
    <t>IF377F</t>
  </si>
  <si>
    <t>AX 100</t>
  </si>
  <si>
    <t>LC6PAGA19E0014333</t>
  </si>
  <si>
    <t>1E50FMGA3C20914</t>
  </si>
  <si>
    <t>2025080408555486617</t>
  </si>
  <si>
    <t>ZAMBRANO SOLORZANO ERIKA MELISSA</t>
  </si>
  <si>
    <t>OFICIO No. PN-SZSDT-JPCTSV-DIG-2025-058-O</t>
  </si>
  <si>
    <t>ESTRELLA OSTAIZA ANTHONY FABIAN</t>
  </si>
  <si>
    <t>JD605N</t>
  </si>
  <si>
    <t>XY200-18</t>
  </si>
  <si>
    <t>LXYPCML09LZ000361</t>
  </si>
  <si>
    <t>XY163FMLLG900996</t>
  </si>
  <si>
    <t>2025080909263569612</t>
  </si>
  <si>
    <t>INTRIAGO ZAMBRANO PEDRO</t>
  </si>
  <si>
    <t>JZ296Y</t>
  </si>
  <si>
    <t>TVS SPORT ES</t>
  </si>
  <si>
    <t>MD625MF55R1AN9634</t>
  </si>
  <si>
    <t>DF5AR19C7406</t>
  </si>
  <si>
    <t>2025081303061475417</t>
  </si>
  <si>
    <t>JARA INTA ROBINSON JOSE</t>
  </si>
  <si>
    <t>IF052A</t>
  </si>
  <si>
    <t>MD2A12DZ3FCD01632</t>
  </si>
  <si>
    <t>DJZCED32387</t>
  </si>
  <si>
    <t>2025081401561358116</t>
  </si>
  <si>
    <t>ALVAREZ ESPINOZA MARIA VICTORIA</t>
  </si>
  <si>
    <t xml:space="preserve">JI406H/JV170S </t>
  </si>
  <si>
    <t>DISCOVER 125 ST</t>
  </si>
  <si>
    <t>MD2A37CX4PWK85753</t>
  </si>
  <si>
    <t>JEXWPK55673</t>
  </si>
  <si>
    <t>2025081704232754709</t>
  </si>
  <si>
    <t>REQUENES VALDIVIESI ROMMEL ADRIAN</t>
  </si>
  <si>
    <t xml:space="preserve">CAJAMARCA MORENO ANDERSON MANUEL </t>
  </si>
  <si>
    <t>ART. 386 #1 IN1</t>
  </si>
  <si>
    <t>IZ258Z</t>
  </si>
  <si>
    <t>GNE 151</t>
  </si>
  <si>
    <t>LWCKUN9L0GN9189</t>
  </si>
  <si>
    <t>162FMJL0GN9279</t>
  </si>
  <si>
    <t>PTACP238917539</t>
  </si>
  <si>
    <t>MENDOZA NUÑEZ SEGUNDO AGUSTIN</t>
  </si>
  <si>
    <t>OFICIO No. FSD-FEAT2-0608-2025-003345-O</t>
  </si>
  <si>
    <t>MENDOZA NUÑEZ SEGUNDO</t>
  </si>
  <si>
    <t>1711026417</t>
  </si>
  <si>
    <t>16465297</t>
  </si>
  <si>
    <t>NO INGRESO Y SALIDA DEL SIIPNE PLACA NO REGISTRA</t>
  </si>
  <si>
    <t>IF502X</t>
  </si>
  <si>
    <t>G150N</t>
  </si>
  <si>
    <t>LV7MKA404FA900489</t>
  </si>
  <si>
    <t>162FMJ1506052262</t>
  </si>
  <si>
    <t>2025082308544923915</t>
  </si>
  <si>
    <t>CAISAGUANO MADRID JAVIER</t>
  </si>
  <si>
    <t>JP138Q</t>
  </si>
  <si>
    <t>LXYPCML05PZ000377</t>
  </si>
  <si>
    <t>XY163FMLPF902012</t>
  </si>
  <si>
    <t>2025090206581553904</t>
  </si>
  <si>
    <t>CPTN. IZA ESTEVAN</t>
  </si>
  <si>
    <t>MEZA ESPAÑA JOHN</t>
  </si>
  <si>
    <t>KN457F</t>
  </si>
  <si>
    <t>KTM</t>
  </si>
  <si>
    <t>200 DUKE</t>
  </si>
  <si>
    <t>VBKJPC407RN046015</t>
  </si>
  <si>
    <t>R93600311</t>
  </si>
  <si>
    <t>2025090811292181302</t>
  </si>
  <si>
    <t>MERINO MORENO HENRY</t>
  </si>
  <si>
    <t>OFICIO No. FPSD-FEAT2-0608-2025-003567-O</t>
  </si>
  <si>
    <t>2300577810</t>
  </si>
  <si>
    <t>CBOS.MUYULEMA WILLIAM</t>
  </si>
  <si>
    <t>0034065791</t>
  </si>
  <si>
    <t>HC178L</t>
  </si>
  <si>
    <t>DR200</t>
  </si>
  <si>
    <t>JS1SH42A492101648</t>
  </si>
  <si>
    <t>H402181830</t>
  </si>
  <si>
    <t>202509130941197302</t>
  </si>
  <si>
    <t xml:space="preserve">SANTOS PILLIGUA WILSON </t>
  </si>
  <si>
    <t>ART.160</t>
  </si>
  <si>
    <t>CBOP. JARAMILLO CARLOS</t>
  </si>
  <si>
    <t>MEMORANDO N.- N-SZSDT-JCTSV-DES-2025-601-M</t>
  </si>
  <si>
    <t>GUSMAN TENELEMA JUAN FELICIANO</t>
  </si>
  <si>
    <t>0603434242</t>
  </si>
  <si>
    <t>16509040</t>
  </si>
  <si>
    <t>HN931O</t>
  </si>
  <si>
    <t>TD200GY</t>
  </si>
  <si>
    <t>LTXJCML01C0556411</t>
  </si>
  <si>
    <t>163MLCA074364</t>
  </si>
  <si>
    <t>2025091309342877904</t>
  </si>
  <si>
    <t>VIZCAINO MINAYO ALBA ALICIA</t>
  </si>
  <si>
    <t>KI552K</t>
  </si>
  <si>
    <t>STIFF</t>
  </si>
  <si>
    <t>ACCONA 125</t>
  </si>
  <si>
    <t>LB412PFA7RC034541</t>
  </si>
  <si>
    <t>DCW1P53FMI2R034541</t>
  </si>
  <si>
    <t>2025091407214972013</t>
  </si>
  <si>
    <t>SGOS. CALAZACON CARLOS</t>
  </si>
  <si>
    <t>ORTIZ CHERRE SANDRA</t>
  </si>
  <si>
    <t>MEMORANDO N.- N-SZSDT-JCTSV-DESP-2025-633-M</t>
  </si>
  <si>
    <t>ZAMBRANO MOLINA CARMEN</t>
  </si>
  <si>
    <t>1717140188</t>
  </si>
  <si>
    <t>16549455</t>
  </si>
  <si>
    <t>IB340V</t>
  </si>
  <si>
    <t>OROMOTO</t>
  </si>
  <si>
    <t>OM-250GY</t>
  </si>
  <si>
    <t>LSRYCNLD0E1191809</t>
  </si>
  <si>
    <t>169FMM8D900214</t>
  </si>
  <si>
    <t>2025091410423414611</t>
  </si>
  <si>
    <t>CPTN. PANTOJA JORGE</t>
  </si>
  <si>
    <t>WILSON ALAVA ERIK</t>
  </si>
  <si>
    <t>KA218Q</t>
  </si>
  <si>
    <t>BOLT M2</t>
  </si>
  <si>
    <t>8LMS132L1RMA01631</t>
  </si>
  <si>
    <t>TDR154FMI23W57053</t>
  </si>
  <si>
    <t>2025091609322688607</t>
  </si>
  <si>
    <t>SOLARTE JUMBO HAYLIS</t>
  </si>
  <si>
    <t>KI297K</t>
  </si>
  <si>
    <t>SMX-8</t>
  </si>
  <si>
    <t>LXYJCML01S0863552</t>
  </si>
  <si>
    <t>XY163FMLSA098118</t>
  </si>
  <si>
    <t>2025092005321730107</t>
  </si>
  <si>
    <t>ALCIVAR RODRIGUEZ ANTONY</t>
  </si>
  <si>
    <t>OFICIO No. FPSD-FEAT3-0609-2025-003582-O</t>
  </si>
  <si>
    <t>ALCIVAR RODRIGUEZ ANTONY ALFREDO</t>
  </si>
  <si>
    <t>0805276219</t>
  </si>
  <si>
    <t>16968461</t>
  </si>
  <si>
    <t>ID022U</t>
  </si>
  <si>
    <t>TD250GY</t>
  </si>
  <si>
    <t>8LYJCNL03E0212585</t>
  </si>
  <si>
    <t>167FMMEA134997</t>
  </si>
  <si>
    <t>2025092206220128116</t>
  </si>
  <si>
    <t>NAPA VELEZ SEGUNDO</t>
  </si>
  <si>
    <t>MEMORANDO N.- PN-SZSDT-JCTSV-DESP-2025-632-M.</t>
  </si>
  <si>
    <t>NAPA VELEZ SEGUNDO FREDDY</t>
  </si>
  <si>
    <t>1708989692</t>
  </si>
  <si>
    <t>16549403</t>
  </si>
  <si>
    <t>HJ883V</t>
  </si>
  <si>
    <t>M1R250</t>
  </si>
  <si>
    <t>LP6LCNE05C0T00820</t>
  </si>
  <si>
    <t>166FMMC2100126</t>
  </si>
  <si>
    <t>2025092600074443718</t>
  </si>
  <si>
    <t xml:space="preserve">CPTN. IZA ESTEVAN </t>
  </si>
  <si>
    <t>TAPIA SAAVEDRA MATHEO</t>
  </si>
  <si>
    <t>MEMORANDO N.- PN-SZSDT-JCTSV-DESP-2025-654-M.</t>
  </si>
  <si>
    <t>TAPIA SAAVEDRA MATHEO JHOSUE</t>
  </si>
  <si>
    <t>1727005652</t>
  </si>
  <si>
    <t>16578971</t>
  </si>
  <si>
    <t>SEVIRPAGO AGENTE CHIBULEO</t>
  </si>
  <si>
    <t>AC595K</t>
  </si>
  <si>
    <t>DOMINAR D 400</t>
  </si>
  <si>
    <t>MD2A67KY4KCC00411</t>
  </si>
  <si>
    <t>JFYCJC17969</t>
  </si>
  <si>
    <t>202509261042183706</t>
  </si>
  <si>
    <t>SUAREZ CARRERA LUCIA</t>
  </si>
  <si>
    <t>JJ245X</t>
  </si>
  <si>
    <t>CT 125</t>
  </si>
  <si>
    <t>MD2B37AX9NWA53415</t>
  </si>
  <si>
    <t>PFXWMA06147</t>
  </si>
  <si>
    <t>2025092806091589914</t>
  </si>
  <si>
    <t>CBOP. LOPEZ WASHINTON</t>
  </si>
  <si>
    <t>MENDOZA ZAMBRANO ARNALDO</t>
  </si>
  <si>
    <t>IC675M</t>
  </si>
  <si>
    <t>STIFF 150</t>
  </si>
  <si>
    <t>LP6PCK3B2F0FF0720</t>
  </si>
  <si>
    <t>162FMJF5100548</t>
  </si>
  <si>
    <t>2025100307221820700</t>
  </si>
  <si>
    <t>MUÑOZ ZAMBRANO DARWIN</t>
  </si>
  <si>
    <t>KH251Y</t>
  </si>
  <si>
    <t>YD110-1</t>
  </si>
  <si>
    <t>ME1UE2910R3017727</t>
  </si>
  <si>
    <t>E3X3E0030296</t>
  </si>
  <si>
    <t>2025100508184943801</t>
  </si>
  <si>
    <t>CASTILLO MORAN WUILLIAN</t>
  </si>
  <si>
    <t>OFICIO No. FPSD-FEAT1-0258-2025-003739-O</t>
  </si>
  <si>
    <t>CASTILLO MORAN WILLIAM</t>
  </si>
  <si>
    <t>1716931637</t>
  </si>
  <si>
    <t>CBOS. GUAMAN JEFFERSO</t>
  </si>
  <si>
    <t>16809734</t>
  </si>
  <si>
    <t>JU649C</t>
  </si>
  <si>
    <t>TK-CR1</t>
  </si>
  <si>
    <t>LLCJPJT04PA500015</t>
  </si>
  <si>
    <t>LC162FMJVQ202672</t>
  </si>
  <si>
    <t>2025100501213994011</t>
  </si>
  <si>
    <t>FLORES MENDEZ CARLOS</t>
  </si>
  <si>
    <t>OFICIO No. FPSD-FEAT2-0608-2025-003866-O</t>
  </si>
  <si>
    <t>MENDEZ MENDEZ MARIA</t>
  </si>
  <si>
    <t>0804280758</t>
  </si>
  <si>
    <t>202510201635820</t>
  </si>
  <si>
    <t>05/102025</t>
  </si>
  <si>
    <t>IC920M</t>
  </si>
  <si>
    <t>LC6AGA14F0001104</t>
  </si>
  <si>
    <t>1E50FMGA3C25178</t>
  </si>
  <si>
    <t>2025100507255755313</t>
  </si>
  <si>
    <t>LOPEZ LEON ERIK</t>
  </si>
  <si>
    <t>CBOS. MUYULEMA WILLIAN</t>
  </si>
  <si>
    <t>MEMORANDO N.- PN-SZSDT-JCTSV-DESP-2025-682-M.</t>
  </si>
  <si>
    <t>LOEZ LEON DAYANA</t>
  </si>
  <si>
    <t>1722285242</t>
  </si>
  <si>
    <t>16621553</t>
  </si>
  <si>
    <t>KA460R</t>
  </si>
  <si>
    <t>DY150 EAGLE</t>
  </si>
  <si>
    <t>LHJYJKLA0RB48290</t>
  </si>
  <si>
    <t>162FMJ24A62520</t>
  </si>
  <si>
    <t>2025100700291914309</t>
  </si>
  <si>
    <t xml:space="preserve">ANGULO JARA JENNIFER ROSALIA </t>
  </si>
  <si>
    <t>ART. 386.1</t>
  </si>
  <si>
    <t>GA615R</t>
  </si>
  <si>
    <t>KEEWAY</t>
  </si>
  <si>
    <t>RK 150</t>
  </si>
  <si>
    <t>LBBPEK5G9JB848332</t>
  </si>
  <si>
    <t>QJ162FMJ7464112</t>
  </si>
  <si>
    <t>2025100903261778610</t>
  </si>
  <si>
    <t>INFANTE CHASSI HECTOR AUGUSTO</t>
  </si>
  <si>
    <t>IZ505H</t>
  </si>
  <si>
    <t>9FSNE43B2LC175058</t>
  </si>
  <si>
    <t>E467291355</t>
  </si>
  <si>
    <t>2025101102412772909</t>
  </si>
  <si>
    <t>RIOS GANCHOZO MAJORIE DALILA</t>
  </si>
  <si>
    <t>MEMORANDO N.- PN-SZSDT-JCTSV-DESP-2025-888-M.</t>
  </si>
  <si>
    <t>RIOS GANCHOZO MARJORIE</t>
  </si>
  <si>
    <t>1717504110</t>
  </si>
  <si>
    <t>16823906</t>
  </si>
  <si>
    <t>JC244U</t>
  </si>
  <si>
    <t>TK-RACER</t>
  </si>
  <si>
    <t>LD3PCN6J4L1600209</t>
  </si>
  <si>
    <t>KD166FMM20359480</t>
  </si>
  <si>
    <t>2025101209050064503</t>
  </si>
  <si>
    <t>TREJO MAYORGA GEOVANNY LEONARDO</t>
  </si>
  <si>
    <t>OFICIO No. FPSD-FEAT3-0609-2025-003547-O</t>
  </si>
  <si>
    <t>1720513371</t>
  </si>
  <si>
    <t>AGENTE ANGEL VALDES ASQUI</t>
  </si>
  <si>
    <t>16934369</t>
  </si>
  <si>
    <t>KO109Z</t>
  </si>
  <si>
    <t>BRONCO 150CR</t>
  </si>
  <si>
    <t>8LRPCKLK5S0033868</t>
  </si>
  <si>
    <t>AD162FMJS0033868</t>
  </si>
  <si>
    <t>2025101601050016302</t>
  </si>
  <si>
    <t>SGOP. CALAZACON MEJIA ABRAHAN CARLOS</t>
  </si>
  <si>
    <t>SANCHEZ RAMON MILTON RENE</t>
  </si>
  <si>
    <t>OFICIO No. FPSD-FEAT3-0609-2025-003105-O</t>
  </si>
  <si>
    <t>1714515804</t>
  </si>
  <si>
    <t>LUIS FERNANDO VELA  FLORES</t>
  </si>
  <si>
    <t>389-055-000105913</t>
  </si>
  <si>
    <t>JP935Q</t>
  </si>
  <si>
    <t>XY150CR</t>
  </si>
  <si>
    <t>LXYPCKL0XPZ001531</t>
  </si>
  <si>
    <t>XY162FMJPE901531</t>
  </si>
  <si>
    <t>VELEZ MENDIETA LUIS MIGUEL</t>
  </si>
  <si>
    <t>OFICIO No. FPSD-FEAT3-0609-2025-003504-O</t>
  </si>
  <si>
    <t>1206595074</t>
  </si>
  <si>
    <t>16912166</t>
  </si>
  <si>
    <t>HU238D</t>
  </si>
  <si>
    <t>9FSNF41B8DC234888</t>
  </si>
  <si>
    <t>157FMI3B2X15635</t>
  </si>
  <si>
    <t>2025101809380725700</t>
  </si>
  <si>
    <t>ZAMBRANO ZAMBRANO VICTOR</t>
  </si>
  <si>
    <t>Nro.FPSD-FEAT2-0608-003934-O</t>
  </si>
  <si>
    <t>ZAMBRANO ZAMBRANO VICTOR EMILIO</t>
  </si>
  <si>
    <t>1350528087</t>
  </si>
  <si>
    <t>94092739-94139613</t>
  </si>
  <si>
    <t>06/11/2025- 05/11/2025</t>
  </si>
  <si>
    <t>16762329-16753521</t>
  </si>
  <si>
    <t>IX520W</t>
  </si>
  <si>
    <t>CB150 UNICORN</t>
  </si>
  <si>
    <t>ME4KC09E4E8010848</t>
  </si>
  <si>
    <t>KC09E86690328</t>
  </si>
  <si>
    <t>2025101807181378116</t>
  </si>
  <si>
    <t>SOLANO CANALES ADAN</t>
  </si>
  <si>
    <t>KJ628O</t>
  </si>
  <si>
    <t>LXYPCKLOXSZ013588</t>
  </si>
  <si>
    <t>XY162FMJSJ913588</t>
  </si>
  <si>
    <t>2025101908063969200</t>
  </si>
  <si>
    <t>BASURTO CHILA ROBERTO</t>
  </si>
  <si>
    <t>OFICIO No. FPSD-FEAT2-0608-2025-004230-O</t>
  </si>
  <si>
    <t>1316603776</t>
  </si>
  <si>
    <t>CBOP.SOLORZANO PEDRO</t>
  </si>
  <si>
    <t>AGENTE CTE. GARCIA ALAN</t>
  </si>
  <si>
    <t>16974740</t>
  </si>
  <si>
    <t>AE529J</t>
  </si>
  <si>
    <t>TNT15</t>
  </si>
  <si>
    <t>LBBL17006MBC76094</t>
  </si>
  <si>
    <t>BJ157FMJ-B11503911</t>
  </si>
  <si>
    <t>MAZAMBA ZAMBRANO CRISTHIAN ADRIAN</t>
  </si>
  <si>
    <t>OFICIO No. FPSD-FEAT2-0608-2025-003998-O</t>
  </si>
  <si>
    <t>MERA ANDRADE JOHANNA</t>
  </si>
  <si>
    <t>1719726588</t>
  </si>
  <si>
    <t>16740722</t>
  </si>
  <si>
    <t>KN004D</t>
  </si>
  <si>
    <t>LXYPCKL01TZ003520</t>
  </si>
  <si>
    <t>XY162FMJTA016072</t>
  </si>
  <si>
    <t>2025110303393476911</t>
  </si>
  <si>
    <t>VITE JAMA BETTY BIRLENDY</t>
  </si>
  <si>
    <t>OFICIO No. FPSD-FEAT2-0608-2025-004441-O</t>
  </si>
  <si>
    <t>1316703535</t>
  </si>
  <si>
    <t>202512063782920</t>
  </si>
  <si>
    <t>JM394N</t>
  </si>
  <si>
    <t>REX 150</t>
  </si>
  <si>
    <t>LEAPCKLA9N0000602</t>
  </si>
  <si>
    <t>162FMJN0C03229</t>
  </si>
  <si>
    <t>2025110400415247808</t>
  </si>
  <si>
    <t>COMPOÑA MESOPANTA DIANA</t>
  </si>
  <si>
    <t xml:space="preserve">MEMORANDO CIR. No. PN-SZSDT-JPCTSV-DESP-2025-839-M. </t>
  </si>
  <si>
    <t>MAYOR. JUAN CARLOS SUAREZ JACOME</t>
  </si>
  <si>
    <t>CAMPAÑA MASAPANTA DIANA MARIBEL</t>
  </si>
  <si>
    <t>1724091945</t>
  </si>
  <si>
    <t>16756048</t>
  </si>
  <si>
    <t>IF340Y</t>
  </si>
  <si>
    <t>BRIO 125</t>
  </si>
  <si>
    <t>LY4YBGJC9FK001128</t>
  </si>
  <si>
    <t>YG1P52FMI59000291</t>
  </si>
  <si>
    <t>2025111000103732208</t>
  </si>
  <si>
    <t>AVILA GARCES JIANA MYLUSKA</t>
  </si>
  <si>
    <t>JC882T</t>
  </si>
  <si>
    <t>DY200</t>
  </si>
  <si>
    <t>LEAPCM0D5M0041236</t>
  </si>
  <si>
    <t>166FMLM1C00382</t>
  </si>
  <si>
    <t>2025111610323283214</t>
  </si>
  <si>
    <t>CBOP. NARANJO JORGE</t>
  </si>
  <si>
    <t>FLORES GONZALEZ KELLY</t>
  </si>
  <si>
    <t>IS362J</t>
  </si>
  <si>
    <t>MD2A67KY8JCA10819</t>
  </si>
  <si>
    <t>JFYCJA10367</t>
  </si>
  <si>
    <t>2025112002562676405</t>
  </si>
  <si>
    <t>SGOS. GUILCAMAIGUA LUIS</t>
  </si>
  <si>
    <t>SALAZAR FONSECA CRISTHIAN</t>
  </si>
  <si>
    <t>IY544X</t>
  </si>
  <si>
    <t>GSX150</t>
  </si>
  <si>
    <t>MB8NG4BA0K8307651</t>
  </si>
  <si>
    <t>BGA1608407</t>
  </si>
  <si>
    <t>2025112809480042408</t>
  </si>
  <si>
    <t>PATI ROMERO TANIA LINEY</t>
  </si>
  <si>
    <t>HX692I</t>
  </si>
  <si>
    <t>TRAXX</t>
  </si>
  <si>
    <t>TX150-5B</t>
  </si>
  <si>
    <t>L4A2KB6B2003094</t>
  </si>
  <si>
    <t>JL162FMJ11A167657</t>
  </si>
  <si>
    <t>2025120509131583718</t>
  </si>
  <si>
    <t>LAMAR CHOCOMA JOSE MARIA</t>
  </si>
  <si>
    <t xml:space="preserve">SGOS. RODRIGUEZ LUIS </t>
  </si>
  <si>
    <t>IT178O</t>
  </si>
  <si>
    <t>NITRO 200</t>
  </si>
  <si>
    <t>LY4YCMLR4J0A20769</t>
  </si>
  <si>
    <t>163FML8J101418</t>
  </si>
  <si>
    <t>2025120906371522313</t>
  </si>
  <si>
    <t>CORAL ESCOBAR FRANKLIN</t>
  </si>
  <si>
    <t xml:space="preserve">MEMORANDO CIR. No. PN-SZSDT-JPCTSV-DESP-2026-0027-M. </t>
  </si>
  <si>
    <t>CHALA SAMPEDRO LADY</t>
  </si>
  <si>
    <t>2350659823</t>
  </si>
  <si>
    <t>17102162</t>
  </si>
  <si>
    <t>JS158F</t>
  </si>
  <si>
    <t>PULSAR 200 NS</t>
  </si>
  <si>
    <t>MD2A36FX0NCC02357</t>
  </si>
  <si>
    <t>JLXCMC64553</t>
  </si>
  <si>
    <t>2025122108264172907</t>
  </si>
  <si>
    <t xml:space="preserve">SGOS. BONILLA PAUL </t>
  </si>
  <si>
    <t>MERA ZAMBRANO JOEL JEREMIAS</t>
  </si>
  <si>
    <t>OFICIO No. FPSD-FEAT1-0258-2025-004104-O</t>
  </si>
  <si>
    <t>2300485295</t>
  </si>
  <si>
    <t>17066535</t>
  </si>
  <si>
    <t>HA299S</t>
  </si>
  <si>
    <t>XY200-5</t>
  </si>
  <si>
    <t>LXYPCML0680223131</t>
  </si>
  <si>
    <t>169FML8C051240</t>
  </si>
  <si>
    <t>2025122106461763310</t>
  </si>
  <si>
    <t>SGOP. GAONA JOHN</t>
  </si>
  <si>
    <t>GARCIA ZAMBRANO ROQUE AUXILIO</t>
  </si>
  <si>
    <t>KR730F</t>
  </si>
  <si>
    <t>BOLT M1</t>
  </si>
  <si>
    <t>8LMS131L1TMA06145</t>
  </si>
  <si>
    <t>TDR154FMI25W01513</t>
  </si>
  <si>
    <t>2025123107021938108</t>
  </si>
  <si>
    <t>SGOS. ALDAS GABRIEL</t>
  </si>
  <si>
    <t>SANCHEZ BASURTO SERGIO</t>
  </si>
  <si>
    <t>ART. 385 #3</t>
  </si>
  <si>
    <t>OFICIO No. FPSD-FEAT1-0258-2026-000030-O</t>
  </si>
  <si>
    <t>SANCHEZ BASURTO SERGIO BENIGNO</t>
  </si>
  <si>
    <t>1717614745</t>
  </si>
  <si>
    <t>202602128506320-202602128506820</t>
  </si>
  <si>
    <t>KP138X</t>
  </si>
  <si>
    <t xml:space="preserve">DAYTONA </t>
  </si>
  <si>
    <t>DY150 WORKFORCE</t>
  </si>
  <si>
    <t>LEAPCK0E6T0036249</t>
  </si>
  <si>
    <t>162FMJT3C36123</t>
  </si>
  <si>
    <t>2026010204211824812</t>
  </si>
  <si>
    <t>ROCERO VALAREZO LUIS</t>
  </si>
  <si>
    <t>AE751J</t>
  </si>
  <si>
    <t>IM170CF-12G</t>
  </si>
  <si>
    <t>LF3PCKCG3MB000614</t>
  </si>
  <si>
    <t>162FMJM5004660</t>
  </si>
  <si>
    <t>2026010600564244612</t>
  </si>
  <si>
    <t>RODRIGUEZ GARCIA EDWIN</t>
  </si>
  <si>
    <t>JV775G</t>
  </si>
  <si>
    <t>LBBL1700XPBE75251</t>
  </si>
  <si>
    <t>BJ157FMJB12558066</t>
  </si>
  <si>
    <t>2026011001021699005</t>
  </si>
  <si>
    <t>POLI. PASMIÑO CARLOS</t>
  </si>
  <si>
    <t>BAREN BASURTO CARLOS</t>
  </si>
  <si>
    <t>S/P</t>
  </si>
  <si>
    <t>MOTO ELECTRICA</t>
  </si>
  <si>
    <t>ELECTRICA</t>
  </si>
  <si>
    <t>VIN:  L2BB05589PB231699</t>
  </si>
  <si>
    <t>202601130102578006</t>
  </si>
  <si>
    <t>ARIAS MOSQUERA ADRIAN</t>
  </si>
  <si>
    <t>AB250R</t>
  </si>
  <si>
    <t>LX200-SX1</t>
  </si>
  <si>
    <t>LLCLYL703HA500164</t>
  </si>
  <si>
    <t>LC163FMLQQ149036</t>
  </si>
  <si>
    <t>UBE ORTIZ LEONEL ORLANDO</t>
  </si>
  <si>
    <t>OFICIO No. FPSD-FEAT1-0258-2026-001014-O</t>
  </si>
  <si>
    <t>CALDERON ZAMBRANO EDY</t>
  </si>
  <si>
    <t>2300034093</t>
  </si>
  <si>
    <t>CBOP. LENIN GAVILANEZ</t>
  </si>
  <si>
    <t>202603171511220</t>
  </si>
  <si>
    <t>KQ726I</t>
  </si>
  <si>
    <t>FACTORY BIKE</t>
  </si>
  <si>
    <t>JOKER 250</t>
  </si>
  <si>
    <t>L3BSEKAR7T0013347</t>
  </si>
  <si>
    <t>166FMM1S003908</t>
  </si>
  <si>
    <t>2026011911193868507</t>
  </si>
  <si>
    <t>CRIOLLO ARTEAGA CARMEN ROSIO</t>
  </si>
  <si>
    <t>OFICIO No. FPSD-FEAT1-0258-2026-000369-O</t>
  </si>
  <si>
    <t>CRIOLLO ARTEAGA CARMEN ROCIO</t>
  </si>
  <si>
    <t>1714224563</t>
  </si>
  <si>
    <t>260205000555</t>
  </si>
  <si>
    <t>KJ968V</t>
  </si>
  <si>
    <t>GSX250F</t>
  </si>
  <si>
    <t>9FSED22L1SC101517</t>
  </si>
  <si>
    <t>EJA1254690</t>
  </si>
  <si>
    <t>202601260803531113</t>
  </si>
  <si>
    <t>TISALEMA PASO WILSON</t>
  </si>
  <si>
    <t>CBOP. OJEDA OSCAR</t>
  </si>
  <si>
    <t>OFICIO No. FPSD-FEAT3-0609-2025-000454-O</t>
  </si>
  <si>
    <t xml:space="preserve">TISALEMA PASO WILSON MANUEL </t>
  </si>
  <si>
    <t>0550170369</t>
  </si>
  <si>
    <t>17223098</t>
  </si>
  <si>
    <t>JG338E</t>
  </si>
  <si>
    <t>TD200GY-I</t>
  </si>
  <si>
    <t>8LRYCML00L0029727</t>
  </si>
  <si>
    <t>AD163FMLL0032201</t>
  </si>
  <si>
    <t>2026012808400251304</t>
  </si>
  <si>
    <t>ANGULO QUIÑONEZ CECILIA</t>
  </si>
  <si>
    <t>JD478C</t>
  </si>
  <si>
    <t>FZN250</t>
  </si>
  <si>
    <t>ME1RG425XL2028949</t>
  </si>
  <si>
    <t>G3H7E0090967</t>
  </si>
  <si>
    <t>2026012911213177809</t>
  </si>
  <si>
    <t>GOMEZ YUGSI CELSO</t>
  </si>
  <si>
    <t>OFICIO No. FPSD-FEAT1-0258-2026-000812-O</t>
  </si>
  <si>
    <t>GOMEZ YUGSI CELSO ADRIAN</t>
  </si>
  <si>
    <t>2350133266</t>
  </si>
  <si>
    <t>17267487</t>
  </si>
  <si>
    <t>IN036X</t>
  </si>
  <si>
    <t>KING 200</t>
  </si>
  <si>
    <t>LB420PCK6GC160182</t>
  </si>
  <si>
    <t>164FMLYX160182</t>
  </si>
  <si>
    <t>2026020201010845317</t>
  </si>
  <si>
    <t>SGOP. INCA CORO VICTOR HUGO</t>
  </si>
  <si>
    <t>LOOR MACIAS JUAN CARLOS</t>
  </si>
  <si>
    <t>IV865U</t>
  </si>
  <si>
    <t>PLATINA 100 ES</t>
  </si>
  <si>
    <t>MD2A76AY9KWL87925</t>
  </si>
  <si>
    <t>PFYWKL39887</t>
  </si>
  <si>
    <t>2026020601351366414</t>
  </si>
  <si>
    <t>SANDRA CATALINA TAMAYO</t>
  </si>
  <si>
    <t>JT558H</t>
  </si>
  <si>
    <t>LWPPCKUN5N1GN2947</t>
  </si>
  <si>
    <t>162FMJN1GN2982</t>
  </si>
  <si>
    <t>2026020711110421316</t>
  </si>
  <si>
    <t>SGOS. BALDEON JORGE</t>
  </si>
  <si>
    <t>INTRIAGO MORA MICHAEL</t>
  </si>
  <si>
    <t>OFICIO No. FPSD-FEAT3-0609-2025-000660-O</t>
  </si>
  <si>
    <t xml:space="preserve">MORA ESPINOZA ROSA ELENA </t>
  </si>
  <si>
    <t>1309478244</t>
  </si>
  <si>
    <t>TECNICO MECANICO</t>
  </si>
  <si>
    <t>CPTN. RAMIREZ VELASTEGUI SANTIAGO</t>
  </si>
  <si>
    <t>17265157</t>
  </si>
  <si>
    <t>JF361H</t>
  </si>
  <si>
    <t>CB160F</t>
  </si>
  <si>
    <t>ME4KC2334MA004347</t>
  </si>
  <si>
    <t>KC23EA0004455</t>
  </si>
  <si>
    <t>2026021507304128604</t>
  </si>
  <si>
    <t>SGOS. GONZAGA GUAMAN</t>
  </si>
  <si>
    <t>RECALDE LAZ NECSAR STEVEN</t>
  </si>
  <si>
    <t>S/D</t>
  </si>
  <si>
    <t>BLANCO/NEGRO</t>
  </si>
  <si>
    <t>L98B1K2D5K1000935</t>
  </si>
  <si>
    <t>169FMM8K400379</t>
  </si>
  <si>
    <t>2026022403132491609</t>
  </si>
  <si>
    <t xml:space="preserve">CBOP. QUISPE GUALPA JAIME </t>
  </si>
  <si>
    <t>HB517X</t>
  </si>
  <si>
    <t>TD200GY-8VI</t>
  </si>
  <si>
    <t>LTXJCML0XA0239952</t>
  </si>
  <si>
    <t>163FMLAA052736</t>
  </si>
  <si>
    <t>2026022510071917016</t>
  </si>
  <si>
    <t>GUSTAVO ZAMORA PACHECO</t>
  </si>
  <si>
    <t>IN457B</t>
  </si>
  <si>
    <t>SKR250S</t>
  </si>
  <si>
    <t>LP6LCNE08G00M0466</t>
  </si>
  <si>
    <t>166FMMG2100729</t>
  </si>
  <si>
    <t>2026022511524258300</t>
  </si>
  <si>
    <t>CBOP. PASCUEL HERNAN</t>
  </si>
  <si>
    <t>PASTAS ERIRA JOFFRE</t>
  </si>
  <si>
    <t>IS262C</t>
  </si>
  <si>
    <t>RANGER</t>
  </si>
  <si>
    <t>250GY-50</t>
  </si>
  <si>
    <t>LHJYCMLB4JB405332</t>
  </si>
  <si>
    <t>172FMM18B00608</t>
  </si>
  <si>
    <t>2026030509241925807</t>
  </si>
  <si>
    <t>SGOP. CHANGO CAIZA CARLOS</t>
  </si>
  <si>
    <t>NAVARRETE ANCHUNDIA JUAN CARLOS</t>
  </si>
  <si>
    <t>DA446A</t>
  </si>
  <si>
    <t>LXYJCML02S0863575</t>
  </si>
  <si>
    <t>XY163FMLSA0098123</t>
  </si>
  <si>
    <t>2026030511303557509</t>
  </si>
  <si>
    <t>ACOSTA OJEDA JONATHAN</t>
  </si>
  <si>
    <t>Nro. FPSD-FEAT1-0258-2026-001348-O</t>
  </si>
  <si>
    <t>ACOSTA BAQUE NERY ALFREDO</t>
  </si>
  <si>
    <t>96926765-96956130</t>
  </si>
  <si>
    <t>26,00-1,00</t>
  </si>
  <si>
    <t>202603316987820-17427526</t>
  </si>
  <si>
    <t>JP607R</t>
  </si>
  <si>
    <t>HERO</t>
  </si>
  <si>
    <t>ECO DELUXE</t>
  </si>
  <si>
    <t>9G5HAH024PVNE0436</t>
  </si>
  <si>
    <t>HA11EPM9M01519</t>
  </si>
  <si>
    <t>2026031001195636511</t>
  </si>
  <si>
    <t>CARRERA CORDOVA JHON</t>
  </si>
  <si>
    <t>AB329D</t>
  </si>
  <si>
    <t>FZN150</t>
  </si>
  <si>
    <t>ME1RG2659J2005402</t>
  </si>
  <si>
    <t>G3K4E0009572</t>
  </si>
  <si>
    <t>2026031601015415912</t>
  </si>
  <si>
    <t>CURIPOMA MUÑOZ JORDAN ADRIAN</t>
  </si>
  <si>
    <t>KD420M</t>
  </si>
  <si>
    <t>HURRICANE 250</t>
  </si>
  <si>
    <t>8LRPCNLB4SM000175</t>
  </si>
  <si>
    <t>166YMMS3063904</t>
  </si>
  <si>
    <t>2026032206035049202</t>
  </si>
  <si>
    <t>GONGORA SIMISTERRA YOLI</t>
  </si>
  <si>
    <t>SIN PLACAS</t>
  </si>
  <si>
    <t>JV550G</t>
  </si>
  <si>
    <t>IM150SC-12</t>
  </si>
  <si>
    <t>LF3TCKCC3PB000614</t>
  </si>
  <si>
    <t>1P57QMJP5K00294</t>
  </si>
  <si>
    <t>2026032402391029216</t>
  </si>
  <si>
    <t>POLI YANTALEMA ALEX</t>
  </si>
  <si>
    <t>QUIMI VELASTEGUI WUILMER</t>
  </si>
  <si>
    <t>HN738Z</t>
  </si>
  <si>
    <t>SKIGO</t>
  </si>
  <si>
    <t>SG 150</t>
  </si>
  <si>
    <t>LF3PCK0058D005735</t>
  </si>
  <si>
    <t>161FMJ81094237</t>
  </si>
  <si>
    <t>2026040205161125809</t>
  </si>
  <si>
    <t>CBOP. SANTIAGO JIMENEZ</t>
  </si>
  <si>
    <t>RIVERA URIBE DEYSI</t>
  </si>
  <si>
    <t>JD082C</t>
  </si>
  <si>
    <t>LF3TCKC03MB000002</t>
  </si>
  <si>
    <t>1P57QMJM5K00099</t>
  </si>
  <si>
    <t>2026041011475365417</t>
  </si>
  <si>
    <t xml:space="preserve">SGOS. JIMENEZ RAMON </t>
  </si>
  <si>
    <t>LOOR DELGADO PABLO BARTOLO</t>
  </si>
  <si>
    <t>EA768J</t>
  </si>
  <si>
    <t>9C2MD3400CR516878</t>
  </si>
  <si>
    <t>MD34EC516878</t>
  </si>
  <si>
    <t>202604111118362105</t>
  </si>
  <si>
    <t>SGOS. BAHAMONDE HOMAR</t>
  </si>
  <si>
    <t>COMANDO PROVINCIAL SDT</t>
  </si>
  <si>
    <t>Nro. FPSD-FEAT1-0258-2026-001562-O</t>
  </si>
  <si>
    <t>SIGUENZA HERNANDEZ STEVEN JOSUE</t>
  </si>
  <si>
    <t>CBOP. SOLANO EDWIN</t>
  </si>
  <si>
    <t>CBOP. FRANCISCO NASIMBA</t>
  </si>
  <si>
    <t>KF682W</t>
  </si>
  <si>
    <t>M1R 200R STANDARD VERSION</t>
  </si>
  <si>
    <t>LP6LCME05R0TM0172</t>
  </si>
  <si>
    <t>163FMLRM210372</t>
  </si>
  <si>
    <t>2026041207442986711</t>
  </si>
  <si>
    <t>CBOP. IZURIETA DENNIS</t>
  </si>
  <si>
    <t>ZAMORA MERA ERIKA FERNANDA</t>
  </si>
  <si>
    <t>MEMORANDO N.- PN-SZSDT-JPCTSV-DESP-2026-0425-M</t>
  </si>
  <si>
    <t>.0926186297</t>
  </si>
  <si>
    <t>IV122Z</t>
  </si>
  <si>
    <t>XTZ 125</t>
  </si>
  <si>
    <t>9FKDE0925K2034212</t>
  </si>
  <si>
    <t>E3Y2E034212</t>
  </si>
  <si>
    <t>2026042101322223408</t>
  </si>
  <si>
    <t>SGOS. PABON LUIS</t>
  </si>
  <si>
    <t>ANDINO ATI ANDERSON GERMAN</t>
  </si>
  <si>
    <t>MEMORANDO N.- PN-SZSDT-JPCTSV-DESP-2026-0441-M</t>
  </si>
  <si>
    <t>0504201021</t>
  </si>
  <si>
    <t>HU327N</t>
  </si>
  <si>
    <t>DY150-1</t>
  </si>
  <si>
    <t>LWPPCK5A4D7097140</t>
  </si>
  <si>
    <t>YH162FMJD7097158</t>
  </si>
  <si>
    <t>2026042201374074410</t>
  </si>
  <si>
    <t>ASIFUELA CASTILLO CARLOS JAVIER</t>
  </si>
  <si>
    <t>MEMORANDO N.- PN-SZSDT-JPCTSV-DESP-2026-0449-M</t>
  </si>
  <si>
    <t>CASTILLO SANCHEZ MARIA MARGARITA</t>
  </si>
  <si>
    <t>202604233791627</t>
  </si>
  <si>
    <t>IL854Z</t>
  </si>
  <si>
    <t>GNE-200</t>
  </si>
  <si>
    <t>LP6PCMA13H03M0038</t>
  </si>
  <si>
    <t>163FMLHM210623</t>
  </si>
  <si>
    <t>2026042201502562315</t>
  </si>
  <si>
    <t xml:space="preserve">TANDAZO SANCHEZ RONALD ALEXANDER </t>
  </si>
  <si>
    <t>HT597E</t>
  </si>
  <si>
    <t>UM</t>
  </si>
  <si>
    <t>NITROX</t>
  </si>
  <si>
    <t>LB415PCM9CC101351</t>
  </si>
  <si>
    <t>162FMJ8C101472</t>
  </si>
  <si>
    <t>GONZALEZ GUERRERO ANTHONY ARSENIO</t>
  </si>
  <si>
    <t>JF354H</t>
  </si>
  <si>
    <t>TRAIL 150</t>
  </si>
  <si>
    <t>R1XJCKL05MA000514</t>
  </si>
  <si>
    <t>OP162FMJM00550</t>
  </si>
  <si>
    <t>202604280658149816</t>
  </si>
  <si>
    <t xml:space="preserve">CBOP AGUIRRE BRAULIO </t>
  </si>
  <si>
    <t>PEÑAFIEL RODRIGUEZ NESTOR WILSON</t>
  </si>
  <si>
    <t>JA100J</t>
  </si>
  <si>
    <t>250CFY</t>
  </si>
  <si>
    <t>LAEEARCM0MH060464</t>
  </si>
  <si>
    <t>166FMM2106200378</t>
  </si>
  <si>
    <t>2026042807063188917</t>
  </si>
  <si>
    <t>ORELLANA TIGASI KARINA ELIZABETH</t>
  </si>
  <si>
    <t>MEMORANDO N.- PN-SZSDT-JPCTSV-DESP-2026-0501-M</t>
  </si>
  <si>
    <t>BRAVO ESPINOZA EDWUIN</t>
  </si>
  <si>
    <t>0704250026</t>
  </si>
  <si>
    <t>JI341P</t>
  </si>
  <si>
    <t>PULSAR200</t>
  </si>
  <si>
    <t>MD2A36FXXMCH00953</t>
  </si>
  <si>
    <t>JLXCLH34664</t>
  </si>
  <si>
    <t>2026042908363337800</t>
  </si>
  <si>
    <t>SGOP BONCANCHO LUIS</t>
  </si>
  <si>
    <t xml:space="preserve">LIMONEZ JIMENEZ JOSE TEOFILO </t>
  </si>
  <si>
    <t>K275J</t>
  </si>
  <si>
    <t>LEAPCK0E6T0034758</t>
  </si>
  <si>
    <t>162FMJT3C34718</t>
  </si>
  <si>
    <t>2026042911542319303</t>
  </si>
  <si>
    <t>POLI. VELAZO ROMULO</t>
  </si>
  <si>
    <t>HOLGUIN GRATEROL FREDDY JUNIOR</t>
  </si>
  <si>
    <t>ART. 177</t>
  </si>
  <si>
    <t>LRYJDPL04T0004218175YMN</t>
  </si>
  <si>
    <t>8T100340</t>
  </si>
  <si>
    <t>2026050308173029316</t>
  </si>
  <si>
    <t>CBOP.GUALPA SEBASTIAN</t>
  </si>
  <si>
    <t>BONE VACA ANDERSON DANIEL</t>
  </si>
  <si>
    <t>JT843H</t>
  </si>
  <si>
    <t>250DL-12</t>
  </si>
  <si>
    <t>LAAVJKNA8NM000873</t>
  </si>
  <si>
    <t>166FMMN3030656</t>
  </si>
  <si>
    <t>2026050402030988904</t>
  </si>
  <si>
    <t>MOREIRA SANCHEZ JOSE</t>
  </si>
  <si>
    <t>JEFATURA</t>
  </si>
  <si>
    <t>MEMORANDO N.- PN-SZSDT-JPCTSV-DESP-2026-0493-M</t>
  </si>
  <si>
    <t>2350319634</t>
  </si>
  <si>
    <t>17634568</t>
  </si>
  <si>
    <t>HR301E</t>
  </si>
  <si>
    <t>DY200GY-7</t>
  </si>
  <si>
    <t>LGVSMY305CZ110061</t>
  </si>
  <si>
    <t>SK167FML1201037066</t>
  </si>
  <si>
    <t>202605080807395417</t>
  </si>
  <si>
    <t>SGOS. RAMON JIMENEZ</t>
  </si>
  <si>
    <t xml:space="preserve">TRUJILLO GOMEZ ALBA </t>
  </si>
  <si>
    <t>IN820U</t>
  </si>
  <si>
    <t>GB110TWISTERDC</t>
  </si>
  <si>
    <t>ME4JC47J7G7005901</t>
  </si>
  <si>
    <t>JC47E71054809</t>
  </si>
  <si>
    <t>SGOS. BROVO HENRRY</t>
  </si>
  <si>
    <t>FIGUEROA MARQUEZ JOSE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</si>
</sst>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_ \$* #,##0.00_ ;_ \$* \-#,##0.00_ ;_ \$* \-??_ ;_ @_ "/>
    <numFmt numFmtId="166" formatCode="&quot;$ &quot;#,##0.00"/>
  </numFmts>
  <fonts count="27">
    <font>
      <sz val="11"/>
      <name val="Calibri"/>
      <family val="1"/>
      <charset val="1"/>
    </font>
    <font>
      <sz val="11"/>
      <color theme="1"/>
      <name val="Calibri"/>
      <family val="2"/>
      <scheme val="minor"/>
    </font>
    <font>
      <b/>
      <sz val="14"/>
      <name val="Calibri"/>
      <family val="1"/>
      <charset val="1"/>
    </font>
    <font>
      <b/>
      <sz val="11"/>
      <name val="Calibri"/>
      <family val="1"/>
      <charset val="1"/>
    </font>
    <font>
      <b/>
      <sz val="12"/>
      <name val="Calibri"/>
      <family val="1"/>
      <charset val="1"/>
    </font>
    <font>
      <b/>
      <sz val="12"/>
      <color rgb="FFFFFFFF"/>
      <name val="Calibri"/>
      <family val="1"/>
      <charset val="1"/>
    </font>
    <font>
      <sz val="12"/>
      <name val="Calibri"/>
      <family val="1"/>
      <charset val="1"/>
    </font>
    <font>
      <b/>
      <sz val="10"/>
      <color rgb="FFFFFFFF"/>
      <name val="Calibri"/>
      <family val="1"/>
      <charset val="1"/>
    </font>
    <font>
      <sz val="12"/>
      <color rgb="FFFF0000"/>
      <name val="Calibri"/>
      <family val="1"/>
      <charset val="1"/>
    </font>
    <font>
      <b/>
      <sz val="12"/>
      <color rgb="FF000000"/>
      <name val="Calibri"/>
      <family val="1"/>
      <charset val="1"/>
    </font>
    <font>
      <sz val="11"/>
      <color rgb="FFFFFFFF"/>
      <name val="Calibri"/>
      <family val="1"/>
      <charset val="1"/>
    </font>
    <font>
      <sz val="8"/>
      <name val="Calibri"/>
      <family val="1"/>
      <charset val="1"/>
    </font>
    <font>
      <b/>
      <sz val="12"/>
      <color rgb="FFFF0000"/>
      <name val="Calibri"/>
      <family val="1"/>
      <charset val="1"/>
    </font>
    <font>
      <b/>
      <sz val="8"/>
      <name val="Calibri"/>
      <family val="1"/>
      <charset val="1"/>
    </font>
    <font>
      <sz val="10"/>
      <color rgb="FF000000"/>
      <name val="Calibri"/>
      <family val="1"/>
      <charset val="1"/>
    </font>
    <font>
      <sz val="10"/>
      <color rgb="FF000000"/>
      <name val="Arial"/>
      <family val="2"/>
      <charset val="1"/>
    </font>
    <font>
      <sz val="10"/>
      <color rgb="FF212529"/>
      <name val="Calibri"/>
      <family val="1"/>
      <charset val="1"/>
    </font>
    <font>
      <b/>
      <sz val="10"/>
      <color rgb="FF212529"/>
      <name val="Calibri"/>
      <family val="1"/>
      <charset val="1"/>
    </font>
    <font>
      <sz val="10"/>
      <color rgb="FF212529"/>
      <name val="Segoe UI"/>
      <family val="1"/>
      <charset val="1"/>
    </font>
    <font>
      <sz val="11"/>
      <color rgb="FF212529"/>
      <name val="Calibri"/>
      <family val="1"/>
      <charset val="1"/>
    </font>
    <font>
      <sz val="11"/>
      <color rgb="FF000000"/>
      <name val="Calibri"/>
      <family val="1"/>
      <charset val="1"/>
    </font>
    <font>
      <sz val="11"/>
      <name val="Arial"/>
      <family val="2"/>
      <charset val="1"/>
    </font>
    <font>
      <b/>
      <sz val="12"/>
      <name val="Bolt"/>
      <family val="1"/>
      <charset val="1"/>
    </font>
    <font>
      <b/>
      <sz val="11"/>
      <name val="Bolt"/>
      <family val="1"/>
      <charset val="1"/>
    </font>
    <font>
      <b/>
      <sz val="16"/>
      <color rgb="FFFF0000"/>
      <name val="Calibri"/>
      <family val="1"/>
      <charset val="1"/>
    </font>
    <font>
      <sz val="11"/>
      <name val="Bolt"/>
      <family val="1"/>
      <charset val="1"/>
    </font>
    <font>
      <sz val="10"/>
      <color rgb="FF212529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2060"/>
        <bgColor rgb="FF212529"/>
      </patternFill>
    </fill>
    <fill>
      <patternFill patternType="solid">
        <fgColor rgb="FFFF0000"/>
        <bgColor rgb="FF800000"/>
      </patternFill>
    </fill>
    <fill>
      <patternFill patternType="solid">
        <fgColor rgb="FF0070C0"/>
        <bgColor rgb="FF008080"/>
      </patternFill>
    </fill>
    <fill>
      <patternFill patternType="solid">
        <fgColor rgb="FF00B050"/>
        <bgColor rgb="FF008080"/>
      </patternFill>
    </fill>
    <fill>
      <patternFill patternType="solid">
        <fgColor rgb="FFC55A11"/>
        <bgColor rgb="FFE46D0A"/>
      </patternFill>
    </fill>
    <fill>
      <patternFill patternType="solid">
        <fgColor rgb="FFFFE799"/>
        <bgColor rgb="FFFFCC99"/>
      </patternFill>
    </fill>
    <fill>
      <patternFill patternType="solid">
        <fgColor rgb="FFBF9000"/>
        <bgColor rgb="FFE46D0A"/>
      </patternFill>
    </fill>
    <fill>
      <patternFill patternType="solid">
        <fgColor rgb="FF7F7F7F"/>
        <bgColor rgb="FF666699"/>
      </patternFill>
    </fill>
    <fill>
      <patternFill patternType="solid">
        <fgColor rgb="FFA5A5A5"/>
        <bgColor rgb="FFC0C0C0"/>
      </patternFill>
    </fill>
    <fill>
      <patternFill patternType="solid">
        <fgColor rgb="FFA3DBFF"/>
        <bgColor rgb="FFCCCCFF"/>
      </patternFill>
    </fill>
    <fill>
      <patternFill patternType="solid">
        <fgColor rgb="FFDEEBF6"/>
        <bgColor rgb="FFCCFFFF"/>
      </patternFill>
    </fill>
    <fill>
      <patternFill patternType="solid">
        <fgColor rgb="FFFFC000"/>
        <bgColor rgb="FFFFFF0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33CCCC"/>
      </patternFill>
    </fill>
    <fill>
      <patternFill patternType="solid">
        <fgColor theme="0" tint="-0.249977111117893"/>
        <b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CC"/>
      </patternFill>
    </fill>
    <fill>
      <patternFill patternType="solid">
        <fgColor theme="0" tint="-0.249977111117893"/>
        <bgColor rgb="FFC0C0C0"/>
      </patternFill>
    </fill>
    <fill>
      <patternFill patternType="solid">
        <fgColor rgb="FFFF0000"/>
        <bgColor rgb="FF666699"/>
      </patternFill>
    </fill>
    <fill>
      <patternFill patternType="solid">
        <fgColor rgb="FFFFFF00"/>
        <bgColor rgb="FFC0C0C0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304">
    <xf numFmtId="0" fontId="0" fillId="0" borderId="0" xfId="0"/>
    <xf numFmtId="0" fontId="3" fillId="0" borderId="3" xfId="0" applyFont="1" applyBorder="1" applyAlignment="1">
      <alignment horizontal="left" vertical="center" wrapText="1"/>
    </xf>
    <xf numFmtId="164" fontId="0" fillId="0" borderId="3" xfId="0" applyNumberForma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2" borderId="1" xfId="0" applyFill="1" applyBorder="1"/>
    <xf numFmtId="0" fontId="0" fillId="2" borderId="2" xfId="0" applyFill="1" applyBorder="1"/>
    <xf numFmtId="0" fontId="3" fillId="2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6" fillId="0" borderId="0" xfId="0" applyFont="1"/>
    <xf numFmtId="0" fontId="5" fillId="3" borderId="7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49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164" fontId="0" fillId="0" borderId="2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49" fontId="0" fillId="4" borderId="2" xfId="0" applyNumberForma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8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3" fillId="0" borderId="0" xfId="0" applyFont="1"/>
    <xf numFmtId="0" fontId="10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0" fillId="0" borderId="3" xfId="0" applyBorder="1" applyAlignment="1">
      <alignment wrapText="1"/>
    </xf>
    <xf numFmtId="164" fontId="0" fillId="0" borderId="3" xfId="0" applyNumberFormat="1" applyBorder="1" applyAlignment="1">
      <alignment wrapText="1"/>
    </xf>
    <xf numFmtId="0" fontId="0" fillId="0" borderId="9" xfId="0" applyBorder="1"/>
    <xf numFmtId="0" fontId="4" fillId="0" borderId="11" xfId="0" applyFont="1" applyBorder="1"/>
    <xf numFmtId="0" fontId="0" fillId="0" borderId="12" xfId="0" applyBorder="1"/>
    <xf numFmtId="0" fontId="12" fillId="0" borderId="14" xfId="0" applyFont="1" applyBorder="1"/>
    <xf numFmtId="0" fontId="0" fillId="0" borderId="15" xfId="0" applyBorder="1"/>
    <xf numFmtId="0" fontId="3" fillId="0" borderId="17" xfId="0" applyFont="1" applyBorder="1"/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21" xfId="0" applyBorder="1"/>
    <xf numFmtId="0" fontId="0" fillId="0" borderId="3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2" borderId="3" xfId="0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1" fontId="0" fillId="0" borderId="3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right" vertical="center"/>
    </xf>
    <xf numFmtId="164" fontId="0" fillId="0" borderId="3" xfId="0" applyNumberFormat="1" applyBorder="1" applyAlignment="1">
      <alignment horizontal="left" vertical="center"/>
    </xf>
    <xf numFmtId="1" fontId="0" fillId="0" borderId="3" xfId="0" applyNumberFormat="1" applyBorder="1" applyAlignment="1">
      <alignment horizontal="left" vertical="center"/>
    </xf>
    <xf numFmtId="165" fontId="0" fillId="0" borderId="3" xfId="0" applyNumberFormat="1" applyBorder="1" applyAlignment="1">
      <alignment horizontal="left" vertical="center"/>
    </xf>
    <xf numFmtId="166" fontId="0" fillId="0" borderId="3" xfId="0" applyNumberFormat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164" fontId="3" fillId="5" borderId="3" xfId="0" applyNumberFormat="1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1" fontId="3" fillId="6" borderId="3" xfId="0" applyNumberFormat="1" applyFont="1" applyFill="1" applyBorder="1" applyAlignment="1">
      <alignment horizontal="center" vertical="center" wrapText="1"/>
    </xf>
    <xf numFmtId="165" fontId="3" fillId="6" borderId="3" xfId="0" applyNumberFormat="1" applyFont="1" applyFill="1" applyBorder="1" applyAlignment="1">
      <alignment horizontal="center" vertical="center" wrapText="1"/>
    </xf>
    <xf numFmtId="164" fontId="3" fillId="6" borderId="3" xfId="0" applyNumberFormat="1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166" fontId="3" fillId="7" borderId="3" xfId="0" applyNumberFormat="1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1" fontId="3" fillId="9" borderId="1" xfId="0" applyNumberFormat="1" applyFont="1" applyFill="1" applyBorder="1" applyAlignment="1">
      <alignment horizontal="center" vertical="center" wrapText="1"/>
    </xf>
    <xf numFmtId="0" fontId="3" fillId="9" borderId="6" xfId="0" applyFont="1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/>
    </xf>
    <xf numFmtId="164" fontId="0" fillId="10" borderId="3" xfId="0" applyNumberFormat="1" applyFill="1" applyBorder="1" applyAlignment="1">
      <alignment horizontal="center" vertical="center"/>
    </xf>
    <xf numFmtId="0" fontId="0" fillId="10" borderId="3" xfId="0" applyFill="1" applyBorder="1" applyAlignment="1">
      <alignment horizontal="left"/>
    </xf>
    <xf numFmtId="0" fontId="14" fillId="10" borderId="0" xfId="0" applyFont="1" applyFill="1"/>
    <xf numFmtId="1" fontId="0" fillId="10" borderId="3" xfId="0" applyNumberFormat="1" applyFill="1" applyBorder="1" applyAlignment="1">
      <alignment horizontal="center" vertical="center"/>
    </xf>
    <xf numFmtId="0" fontId="0" fillId="10" borderId="3" xfId="0" applyFill="1" applyBorder="1" applyAlignment="1">
      <alignment horizontal="left" vertical="center"/>
    </xf>
    <xf numFmtId="166" fontId="0" fillId="10" borderId="3" xfId="0" applyNumberFormat="1" applyFill="1" applyBorder="1" applyAlignment="1">
      <alignment horizontal="right" vertical="center"/>
    </xf>
    <xf numFmtId="164" fontId="0" fillId="10" borderId="3" xfId="0" applyNumberFormat="1" applyFill="1" applyBorder="1" applyAlignment="1">
      <alignment horizontal="left" vertical="center"/>
    </xf>
    <xf numFmtId="1" fontId="0" fillId="10" borderId="3" xfId="0" applyNumberFormat="1" applyFill="1" applyBorder="1" applyAlignment="1">
      <alignment horizontal="left" vertical="center"/>
    </xf>
    <xf numFmtId="166" fontId="0" fillId="10" borderId="3" xfId="0" applyNumberFormat="1" applyFill="1" applyBorder="1" applyAlignment="1">
      <alignment horizontal="left" vertical="center"/>
    </xf>
    <xf numFmtId="166" fontId="0" fillId="10" borderId="3" xfId="0" applyNumberFormat="1" applyFill="1" applyBorder="1" applyAlignment="1">
      <alignment horizontal="center" vertical="center"/>
    </xf>
    <xf numFmtId="165" fontId="0" fillId="10" borderId="3" xfId="0" applyNumberFormat="1" applyFill="1" applyBorder="1" applyAlignment="1">
      <alignment horizontal="left" vertical="center"/>
    </xf>
    <xf numFmtId="164" fontId="0" fillId="2" borderId="3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  <xf numFmtId="166" fontId="0" fillId="2" borderId="3" xfId="0" applyNumberFormat="1" applyFill="1" applyBorder="1" applyAlignment="1">
      <alignment horizontal="right" vertical="center"/>
    </xf>
    <xf numFmtId="164" fontId="0" fillId="2" borderId="3" xfId="0" applyNumberFormat="1" applyFill="1" applyBorder="1" applyAlignment="1">
      <alignment horizontal="left" vertical="center"/>
    </xf>
    <xf numFmtId="166" fontId="0" fillId="2" borderId="3" xfId="0" applyNumberFormat="1" applyFill="1" applyBorder="1" applyAlignment="1">
      <alignment horizontal="left" vertical="center"/>
    </xf>
    <xf numFmtId="165" fontId="0" fillId="2" borderId="3" xfId="0" applyNumberFormat="1" applyFill="1" applyBorder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2" borderId="3" xfId="0" applyFill="1" applyBorder="1" applyAlignment="1">
      <alignment horizontal="left" vertical="center" wrapText="1"/>
    </xf>
    <xf numFmtId="0" fontId="16" fillId="2" borderId="3" xfId="0" applyFont="1" applyFill="1" applyBorder="1" applyAlignment="1">
      <alignment horizontal="left"/>
    </xf>
    <xf numFmtId="0" fontId="17" fillId="2" borderId="3" xfId="0" applyFont="1" applyFill="1" applyBorder="1" applyAlignment="1">
      <alignment horizontal="center"/>
    </xf>
    <xf numFmtId="49" fontId="0" fillId="2" borderId="3" xfId="0" applyNumberFormat="1" applyFill="1" applyBorder="1" applyAlignment="1">
      <alignment horizontal="left" vertical="center"/>
    </xf>
    <xf numFmtId="166" fontId="0" fillId="2" borderId="3" xfId="0" applyNumberForma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1" fontId="0" fillId="4" borderId="3" xfId="0" applyNumberForma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left"/>
    </xf>
    <xf numFmtId="0" fontId="0" fillId="10" borderId="0" xfId="0" applyFill="1" applyAlignment="1">
      <alignment horizontal="center" vertical="center"/>
    </xf>
    <xf numFmtId="164" fontId="0" fillId="2" borderId="3" xfId="0" applyNumberFormat="1" applyFill="1" applyBorder="1" applyAlignment="1">
      <alignment horizontal="left" vertical="center" wrapText="1"/>
    </xf>
    <xf numFmtId="49" fontId="0" fillId="2" borderId="3" xfId="0" applyNumberFormat="1" applyFill="1" applyBorder="1" applyAlignment="1">
      <alignment horizontal="left" vertical="center" wrapText="1"/>
    </xf>
    <xf numFmtId="0" fontId="0" fillId="2" borderId="3" xfId="0" applyFill="1" applyBorder="1" applyAlignment="1">
      <alignment horizontal="center" vertical="center" wrapText="1"/>
    </xf>
    <xf numFmtId="0" fontId="19" fillId="0" borderId="3" xfId="0" applyFont="1" applyBorder="1" applyAlignment="1">
      <alignment horizontal="left"/>
    </xf>
    <xf numFmtId="0" fontId="18" fillId="2" borderId="0" xfId="0" applyFont="1" applyFill="1"/>
    <xf numFmtId="0" fontId="0" fillId="11" borderId="3" xfId="0" applyFill="1" applyBorder="1" applyAlignment="1">
      <alignment horizontal="center" vertical="center"/>
    </xf>
    <xf numFmtId="164" fontId="0" fillId="11" borderId="3" xfId="0" applyNumberFormat="1" applyFill="1" applyBorder="1" applyAlignment="1">
      <alignment horizontal="center" vertical="center"/>
    </xf>
    <xf numFmtId="1" fontId="0" fillId="11" borderId="3" xfId="0" applyNumberFormat="1" applyFill="1" applyBorder="1" applyAlignment="1">
      <alignment horizontal="center" vertical="center"/>
    </xf>
    <xf numFmtId="166" fontId="0" fillId="11" borderId="3" xfId="0" applyNumberFormat="1" applyFill="1" applyBorder="1" applyAlignment="1">
      <alignment horizontal="right" vertical="center"/>
    </xf>
    <xf numFmtId="164" fontId="0" fillId="11" borderId="3" xfId="0" applyNumberFormat="1" applyFill="1" applyBorder="1" applyAlignment="1">
      <alignment horizontal="left" vertical="center"/>
    </xf>
    <xf numFmtId="1" fontId="0" fillId="11" borderId="3" xfId="0" applyNumberFormat="1" applyFill="1" applyBorder="1" applyAlignment="1">
      <alignment horizontal="left" vertical="center"/>
    </xf>
    <xf numFmtId="166" fontId="0" fillId="11" borderId="3" xfId="0" applyNumberFormat="1" applyFill="1" applyBorder="1" applyAlignment="1">
      <alignment horizontal="left" vertical="center"/>
    </xf>
    <xf numFmtId="0" fontId="0" fillId="11" borderId="3" xfId="0" applyFill="1" applyBorder="1" applyAlignment="1">
      <alignment horizontal="left" vertical="center"/>
    </xf>
    <xf numFmtId="166" fontId="0" fillId="11" borderId="3" xfId="0" applyNumberFormat="1" applyFill="1" applyBorder="1" applyAlignment="1">
      <alignment horizontal="center" vertical="center"/>
    </xf>
    <xf numFmtId="165" fontId="0" fillId="11" borderId="3" xfId="0" applyNumberFormat="1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0" xfId="0" applyFill="1"/>
    <xf numFmtId="0" fontId="20" fillId="2" borderId="0" xfId="0" applyFont="1" applyFill="1" applyAlignment="1">
      <alignment horizontal="center"/>
    </xf>
    <xf numFmtId="1" fontId="0" fillId="2" borderId="0" xfId="0" applyNumberFormat="1" applyFill="1" applyAlignment="1">
      <alignment horizontal="left"/>
    </xf>
    <xf numFmtId="164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19" fillId="2" borderId="3" xfId="0" applyFont="1" applyFill="1" applyBorder="1" applyAlignment="1">
      <alignment horizontal="left"/>
    </xf>
    <xf numFmtId="0" fontId="0" fillId="2" borderId="0" xfId="0" applyFill="1" applyAlignment="1">
      <alignment horizontal="left"/>
    </xf>
    <xf numFmtId="0" fontId="3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12" borderId="0" xfId="0" applyFill="1"/>
    <xf numFmtId="0" fontId="0" fillId="12" borderId="0" xfId="0" applyFill="1" applyAlignment="1">
      <alignment horizontal="center" vertical="center"/>
    </xf>
    <xf numFmtId="165" fontId="0" fillId="12" borderId="0" xfId="0" applyNumberFormat="1" applyFill="1" applyAlignment="1">
      <alignment horizontal="center" vertical="center"/>
    </xf>
    <xf numFmtId="165" fontId="0" fillId="12" borderId="3" xfId="0" applyNumberFormat="1" applyFill="1" applyBorder="1" applyAlignment="1">
      <alignment horizontal="left" vertical="center"/>
    </xf>
    <xf numFmtId="0" fontId="0" fillId="12" borderId="3" xfId="0" applyFill="1" applyBorder="1" applyAlignment="1">
      <alignment horizontal="left" vertical="center"/>
    </xf>
    <xf numFmtId="0" fontId="0" fillId="13" borderId="2" xfId="0" applyFill="1" applyBorder="1" applyAlignment="1">
      <alignment horizontal="left" vertical="center"/>
    </xf>
    <xf numFmtId="0" fontId="0" fillId="13" borderId="3" xfId="0" applyFill="1" applyBorder="1" applyAlignment="1">
      <alignment horizontal="left" vertical="center"/>
    </xf>
    <xf numFmtId="0" fontId="0" fillId="13" borderId="0" xfId="0" applyFill="1"/>
    <xf numFmtId="0" fontId="23" fillId="5" borderId="3" xfId="0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66" fontId="3" fillId="6" borderId="3" xfId="0" applyNumberFormat="1" applyFont="1" applyFill="1" applyBorder="1" applyAlignment="1">
      <alignment horizontal="center" vertical="center" wrapText="1"/>
    </xf>
    <xf numFmtId="165" fontId="3" fillId="7" borderId="3" xfId="0" applyNumberFormat="1" applyFont="1" applyFill="1" applyBorder="1" applyAlignment="1">
      <alignment horizontal="center" vertical="center" wrapText="1"/>
    </xf>
    <xf numFmtId="49" fontId="3" fillId="9" borderId="6" xfId="0" applyNumberFormat="1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/>
    </xf>
    <xf numFmtId="164" fontId="0" fillId="6" borderId="3" xfId="0" applyNumberFormat="1" applyFill="1" applyBorder="1" applyAlignment="1">
      <alignment horizontal="center" vertical="center"/>
    </xf>
    <xf numFmtId="49" fontId="0" fillId="6" borderId="3" xfId="0" applyNumberFormat="1" applyFill="1" applyBorder="1" applyAlignment="1">
      <alignment horizontal="center" vertical="center"/>
    </xf>
    <xf numFmtId="166" fontId="0" fillId="6" borderId="3" xfId="0" applyNumberFormat="1" applyFill="1" applyBorder="1" applyAlignment="1">
      <alignment horizontal="center" vertical="center"/>
    </xf>
    <xf numFmtId="49" fontId="0" fillId="6" borderId="4" xfId="0" applyNumberFormat="1" applyFill="1" applyBorder="1" applyAlignment="1">
      <alignment horizontal="center" vertical="center"/>
    </xf>
    <xf numFmtId="1" fontId="0" fillId="6" borderId="3" xfId="0" applyNumberFormat="1" applyFill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164" fontId="0" fillId="4" borderId="3" xfId="0" applyNumberFormat="1" applyFill="1" applyBorder="1" applyAlignment="1">
      <alignment horizontal="center" vertical="center"/>
    </xf>
    <xf numFmtId="49" fontId="0" fillId="4" borderId="3" xfId="0" applyNumberFormat="1" applyFill="1" applyBorder="1" applyAlignment="1">
      <alignment horizontal="center" vertical="center"/>
    </xf>
    <xf numFmtId="166" fontId="0" fillId="4" borderId="3" xfId="0" applyNumberFormat="1" applyFill="1" applyBorder="1" applyAlignment="1">
      <alignment horizontal="center" vertical="center"/>
    </xf>
    <xf numFmtId="49" fontId="0" fillId="4" borderId="4" xfId="0" applyNumberFormat="1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0" fillId="6" borderId="0" xfId="0" applyFill="1"/>
    <xf numFmtId="0" fontId="0" fillId="16" borderId="3" xfId="0" applyFill="1" applyBorder="1" applyAlignment="1">
      <alignment horizontal="center" vertical="center"/>
    </xf>
    <xf numFmtId="164" fontId="0" fillId="16" borderId="3" xfId="0" applyNumberFormat="1" applyFill="1" applyBorder="1" applyAlignment="1">
      <alignment horizontal="center" vertical="center"/>
    </xf>
    <xf numFmtId="49" fontId="0" fillId="16" borderId="3" xfId="0" applyNumberFormat="1" applyFill="1" applyBorder="1" applyAlignment="1">
      <alignment horizontal="center" vertical="center"/>
    </xf>
    <xf numFmtId="166" fontId="0" fillId="16" borderId="3" xfId="0" applyNumberFormat="1" applyFill="1" applyBorder="1" applyAlignment="1">
      <alignment horizontal="center" vertical="center"/>
    </xf>
    <xf numFmtId="49" fontId="0" fillId="16" borderId="4" xfId="0" applyNumberFormat="1" applyFill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/>
    </xf>
    <xf numFmtId="49" fontId="25" fillId="0" borderId="3" xfId="0" applyNumberFormat="1" applyFont="1" applyBorder="1" applyAlignment="1">
      <alignment horizontal="center" vertical="center"/>
    </xf>
    <xf numFmtId="166" fontId="25" fillId="0" borderId="3" xfId="0" applyNumberFormat="1" applyFont="1" applyBorder="1" applyAlignment="1">
      <alignment horizontal="center" vertical="center"/>
    </xf>
    <xf numFmtId="49" fontId="25" fillId="0" borderId="4" xfId="0" applyNumberFormat="1" applyFont="1" applyBorder="1" applyAlignment="1">
      <alignment horizontal="center" vertical="center"/>
    </xf>
    <xf numFmtId="0" fontId="0" fillId="17" borderId="3" xfId="0" applyFill="1" applyBorder="1" applyAlignment="1">
      <alignment horizontal="center" vertical="center"/>
    </xf>
    <xf numFmtId="164" fontId="0" fillId="17" borderId="3" xfId="0" applyNumberFormat="1" applyFill="1" applyBorder="1" applyAlignment="1">
      <alignment horizontal="center" vertical="center"/>
    </xf>
    <xf numFmtId="0" fontId="0" fillId="17" borderId="3" xfId="0" applyFill="1" applyBorder="1" applyAlignment="1">
      <alignment horizontal="left" vertical="center"/>
    </xf>
    <xf numFmtId="1" fontId="0" fillId="17" borderId="3" xfId="0" applyNumberFormat="1" applyFill="1" applyBorder="1" applyAlignment="1">
      <alignment horizontal="center" vertical="center"/>
    </xf>
    <xf numFmtId="166" fontId="0" fillId="17" borderId="3" xfId="0" applyNumberFormat="1" applyFill="1" applyBorder="1" applyAlignment="1">
      <alignment horizontal="right" vertical="center"/>
    </xf>
    <xf numFmtId="164" fontId="0" fillId="17" borderId="3" xfId="0" applyNumberFormat="1" applyFill="1" applyBorder="1" applyAlignment="1">
      <alignment horizontal="left" vertical="center"/>
    </xf>
    <xf numFmtId="1" fontId="0" fillId="17" borderId="3" xfId="0" applyNumberFormat="1" applyFill="1" applyBorder="1" applyAlignment="1">
      <alignment horizontal="left" vertical="center"/>
    </xf>
    <xf numFmtId="166" fontId="0" fillId="17" borderId="3" xfId="0" applyNumberFormat="1" applyFill="1" applyBorder="1" applyAlignment="1">
      <alignment horizontal="left" vertical="center"/>
    </xf>
    <xf numFmtId="166" fontId="0" fillId="17" borderId="3" xfId="0" applyNumberFormat="1" applyFill="1" applyBorder="1" applyAlignment="1">
      <alignment horizontal="center" vertical="center"/>
    </xf>
    <xf numFmtId="165" fontId="0" fillId="17" borderId="3" xfId="0" applyNumberFormat="1" applyFill="1" applyBorder="1" applyAlignment="1">
      <alignment horizontal="left" vertical="center"/>
    </xf>
    <xf numFmtId="0" fontId="0" fillId="18" borderId="0" xfId="0" applyFill="1"/>
    <xf numFmtId="0" fontId="26" fillId="0" borderId="0" xfId="0" applyFont="1"/>
    <xf numFmtId="0" fontId="0" fillId="19" borderId="3" xfId="0" applyFill="1" applyBorder="1" applyAlignment="1">
      <alignment horizontal="center" vertical="center"/>
    </xf>
    <xf numFmtId="0" fontId="18" fillId="0" borderId="0" xfId="0" applyFont="1"/>
    <xf numFmtId="166" fontId="0" fillId="0" borderId="3" xfId="0" applyNumberFormat="1" applyBorder="1" applyAlignment="1">
      <alignment horizontal="right" vertical="center"/>
    </xf>
    <xf numFmtId="166" fontId="0" fillId="0" borderId="3" xfId="0" applyNumberFormat="1" applyBorder="1" applyAlignment="1">
      <alignment horizontal="left" vertical="center"/>
    </xf>
    <xf numFmtId="164" fontId="0" fillId="19" borderId="3" xfId="0" applyNumberFormat="1" applyFill="1" applyBorder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18" fillId="20" borderId="0" xfId="0" applyFont="1" applyFill="1"/>
    <xf numFmtId="1" fontId="0" fillId="19" borderId="3" xfId="0" applyNumberFormat="1" applyFill="1" applyBorder="1" applyAlignment="1">
      <alignment horizontal="center" vertical="center"/>
    </xf>
    <xf numFmtId="0" fontId="0" fillId="21" borderId="3" xfId="0" applyFill="1" applyBorder="1" applyAlignment="1">
      <alignment horizontal="center" vertical="center"/>
    </xf>
    <xf numFmtId="166" fontId="0" fillId="19" borderId="3" xfId="0" applyNumberFormat="1" applyFill="1" applyBorder="1" applyAlignment="1">
      <alignment horizontal="right" vertical="center"/>
    </xf>
    <xf numFmtId="164" fontId="0" fillId="19" borderId="3" xfId="0" applyNumberFormat="1" applyFill="1" applyBorder="1" applyAlignment="1">
      <alignment horizontal="left" vertical="center"/>
    </xf>
    <xf numFmtId="1" fontId="0" fillId="19" borderId="3" xfId="0" applyNumberFormat="1" applyFill="1" applyBorder="1" applyAlignment="1">
      <alignment horizontal="left" vertical="center"/>
    </xf>
    <xf numFmtId="166" fontId="0" fillId="19" borderId="3" xfId="0" applyNumberFormat="1" applyFill="1" applyBorder="1" applyAlignment="1">
      <alignment horizontal="left" vertical="center"/>
    </xf>
    <xf numFmtId="0" fontId="0" fillId="19" borderId="3" xfId="0" applyFill="1" applyBorder="1" applyAlignment="1">
      <alignment horizontal="left" vertical="center"/>
    </xf>
    <xf numFmtId="166" fontId="0" fillId="19" borderId="3" xfId="0" applyNumberFormat="1" applyFill="1" applyBorder="1" applyAlignment="1">
      <alignment horizontal="center" vertical="center"/>
    </xf>
    <xf numFmtId="165" fontId="0" fillId="19" borderId="3" xfId="0" applyNumberFormat="1" applyFill="1" applyBorder="1" applyAlignment="1">
      <alignment horizontal="left" vertical="center"/>
    </xf>
    <xf numFmtId="0" fontId="0" fillId="20" borderId="0" xfId="0" applyFill="1"/>
    <xf numFmtId="49" fontId="0" fillId="10" borderId="3" xfId="0" applyNumberFormat="1" applyFill="1" applyBorder="1" applyAlignment="1">
      <alignment horizontal="center" vertical="center"/>
    </xf>
    <xf numFmtId="49" fontId="0" fillId="11" borderId="3" xfId="0" applyNumberFormat="1" applyFill="1" applyBorder="1" applyAlignment="1">
      <alignment horizontal="center" vertical="center"/>
    </xf>
    <xf numFmtId="49" fontId="0" fillId="19" borderId="3" xfId="0" applyNumberFormat="1" applyFill="1" applyBorder="1" applyAlignment="1">
      <alignment horizontal="center" vertical="center"/>
    </xf>
    <xf numFmtId="49" fontId="0" fillId="17" borderId="3" xfId="0" applyNumberFormat="1" applyFill="1" applyBorder="1" applyAlignment="1">
      <alignment horizontal="center" vertical="center"/>
    </xf>
    <xf numFmtId="49" fontId="0" fillId="0" borderId="0" xfId="0" applyNumberFormat="1"/>
    <xf numFmtId="14" fontId="0" fillId="20" borderId="0" xfId="0" applyNumberFormat="1" applyFill="1"/>
    <xf numFmtId="49" fontId="15" fillId="10" borderId="0" xfId="0" applyNumberFormat="1" applyFont="1" applyFill="1"/>
    <xf numFmtId="49" fontId="18" fillId="2" borderId="3" xfId="0" applyNumberFormat="1" applyFont="1" applyFill="1" applyBorder="1"/>
    <xf numFmtId="49" fontId="18" fillId="2" borderId="3" xfId="0" applyNumberFormat="1" applyFont="1" applyFill="1" applyBorder="1" applyAlignment="1">
      <alignment horizontal="left" vertical="center" wrapText="1"/>
    </xf>
    <xf numFmtId="49" fontId="0" fillId="2" borderId="0" xfId="0" applyNumberFormat="1" applyFill="1" applyAlignment="1">
      <alignment horizontal="center" vertical="center"/>
    </xf>
    <xf numFmtId="49" fontId="18" fillId="2" borderId="0" xfId="0" applyNumberFormat="1" applyFont="1" applyFill="1"/>
    <xf numFmtId="49" fontId="18" fillId="0" borderId="0" xfId="0" applyNumberFormat="1" applyFont="1"/>
    <xf numFmtId="49" fontId="18" fillId="19" borderId="0" xfId="0" applyNumberFormat="1" applyFont="1" applyFill="1"/>
    <xf numFmtId="49" fontId="0" fillId="2" borderId="3" xfId="0" applyNumberFormat="1" applyFill="1" applyBorder="1" applyAlignment="1">
      <alignment vertical="center"/>
    </xf>
    <xf numFmtId="49" fontId="21" fillId="2" borderId="3" xfId="0" applyNumberFormat="1" applyFon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/>
    </xf>
    <xf numFmtId="49" fontId="19" fillId="2" borderId="0" xfId="0" applyNumberFormat="1" applyFont="1" applyFill="1" applyAlignment="1">
      <alignment horizontal="center"/>
    </xf>
    <xf numFmtId="0" fontId="26" fillId="18" borderId="0" xfId="0" applyFont="1" applyFill="1"/>
    <xf numFmtId="0" fontId="0" fillId="22" borderId="3" xfId="0" applyFill="1" applyBorder="1" applyAlignment="1">
      <alignment horizontal="center" vertical="center"/>
    </xf>
    <xf numFmtId="49" fontId="0" fillId="23" borderId="3" xfId="0" applyNumberFormat="1" applyFill="1" applyBorder="1" applyAlignment="1">
      <alignment horizontal="center" vertical="center"/>
    </xf>
    <xf numFmtId="164" fontId="0" fillId="21" borderId="3" xfId="0" applyNumberFormat="1" applyFill="1" applyBorder="1" applyAlignment="1">
      <alignment horizontal="center" vertical="center"/>
    </xf>
    <xf numFmtId="0" fontId="26" fillId="20" borderId="0" xfId="0" applyFont="1" applyFill="1"/>
    <xf numFmtId="0" fontId="1" fillId="20" borderId="3" xfId="0" applyFont="1" applyFill="1" applyBorder="1" applyAlignment="1">
      <alignment horizontal="center" vertical="center"/>
    </xf>
    <xf numFmtId="49" fontId="26" fillId="20" borderId="0" xfId="0" applyNumberFormat="1" applyFont="1" applyFill="1"/>
    <xf numFmtId="49" fontId="1" fillId="20" borderId="3" xfId="0" applyNumberFormat="1" applyFont="1" applyFill="1" applyBorder="1" applyAlignment="1">
      <alignment horizontal="center" vertical="center"/>
    </xf>
    <xf numFmtId="49" fontId="0" fillId="21" borderId="3" xfId="0" applyNumberFormat="1" applyFill="1" applyBorder="1" applyAlignment="1">
      <alignment horizontal="center" vertical="center"/>
    </xf>
    <xf numFmtId="1" fontId="0" fillId="21" borderId="3" xfId="0" applyNumberFormat="1" applyFill="1" applyBorder="1" applyAlignment="1">
      <alignment horizontal="center" vertical="center"/>
    </xf>
    <xf numFmtId="166" fontId="0" fillId="21" borderId="3" xfId="0" applyNumberFormat="1" applyFill="1" applyBorder="1" applyAlignment="1">
      <alignment horizontal="right" vertical="center"/>
    </xf>
    <xf numFmtId="164" fontId="0" fillId="21" borderId="3" xfId="0" applyNumberFormat="1" applyFill="1" applyBorder="1" applyAlignment="1">
      <alignment horizontal="left" vertical="center"/>
    </xf>
    <xf numFmtId="1" fontId="0" fillId="21" borderId="3" xfId="0" applyNumberFormat="1" applyFill="1" applyBorder="1" applyAlignment="1">
      <alignment horizontal="left" vertical="center"/>
    </xf>
    <xf numFmtId="166" fontId="0" fillId="21" borderId="3" xfId="0" applyNumberFormat="1" applyFill="1" applyBorder="1" applyAlignment="1">
      <alignment horizontal="left" vertical="center"/>
    </xf>
    <xf numFmtId="0" fontId="0" fillId="21" borderId="3" xfId="0" applyFill="1" applyBorder="1" applyAlignment="1">
      <alignment horizontal="left" vertical="center"/>
    </xf>
    <xf numFmtId="166" fontId="0" fillId="21" borderId="3" xfId="0" applyNumberFormat="1" applyFill="1" applyBorder="1" applyAlignment="1">
      <alignment horizontal="center" vertical="center"/>
    </xf>
    <xf numFmtId="165" fontId="0" fillId="21" borderId="3" xfId="0" applyNumberFormat="1" applyFill="1" applyBorder="1" applyAlignment="1">
      <alignment horizontal="left" vertical="center"/>
    </xf>
    <xf numFmtId="0" fontId="26" fillId="0" borderId="0" xfId="0" applyFont="1" applyAlignment="1">
      <alignment horizontal="left" vertical="center" wrapText="1"/>
    </xf>
    <xf numFmtId="0" fontId="0" fillId="24" borderId="0" xfId="0" applyFill="1"/>
    <xf numFmtId="0" fontId="0" fillId="21" borderId="31" xfId="0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28" xfId="0" applyBorder="1"/>
    <xf numFmtId="0" fontId="0" fillId="0" borderId="8" xfId="0" applyBorder="1"/>
    <xf numFmtId="0" fontId="3" fillId="5" borderId="3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5" fillId="3" borderId="1" xfId="0" applyFont="1" applyFill="1" applyBorder="1" applyAlignment="1">
      <alignment vertical="center" wrapText="1"/>
    </xf>
    <xf numFmtId="0" fontId="0" fillId="0" borderId="26" xfId="0" applyBorder="1"/>
    <xf numFmtId="0" fontId="5" fillId="3" borderId="3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/>
    </xf>
    <xf numFmtId="0" fontId="0" fillId="0" borderId="5" xfId="0" applyBorder="1"/>
    <xf numFmtId="0" fontId="0" fillId="0" borderId="3" xfId="0" applyBorder="1" applyAlignment="1">
      <alignment vertical="center" wrapText="1"/>
    </xf>
    <xf numFmtId="0" fontId="5" fillId="3" borderId="3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7" xfId="0" applyBorder="1"/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31" xfId="0" applyBorder="1"/>
    <xf numFmtId="0" fontId="0" fillId="0" borderId="29" xfId="0" applyBorder="1"/>
    <xf numFmtId="0" fontId="0" fillId="0" borderId="7" xfId="0" applyBorder="1"/>
    <xf numFmtId="0" fontId="0" fillId="0" borderId="30" xfId="0" applyBorder="1"/>
    <xf numFmtId="0" fontId="2" fillId="2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0" fillId="0" borderId="32" xfId="0" applyBorder="1"/>
    <xf numFmtId="0" fontId="0" fillId="0" borderId="2" xfId="0" applyBorder="1"/>
    <xf numFmtId="0" fontId="2" fillId="2" borderId="1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wrapText="1"/>
    </xf>
    <xf numFmtId="0" fontId="11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0" fillId="0" borderId="33" xfId="0" applyBorder="1"/>
    <xf numFmtId="0" fontId="0" fillId="0" borderId="34" xfId="0" applyBorder="1"/>
    <xf numFmtId="0" fontId="3" fillId="0" borderId="16" xfId="0" applyFont="1" applyBorder="1" applyAlignment="1">
      <alignment horizontal="left"/>
    </xf>
    <xf numFmtId="0" fontId="0" fillId="0" borderId="35" xfId="0" applyBorder="1"/>
    <xf numFmtId="0" fontId="0" fillId="0" borderId="36" xfId="0" applyBorder="1"/>
    <xf numFmtId="0" fontId="24" fillId="15" borderId="3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0" fontId="23" fillId="8" borderId="3" xfId="0" applyFont="1" applyFill="1" applyBorder="1" applyAlignment="1">
      <alignment horizontal="center" vertical="center"/>
    </xf>
    <xf numFmtId="0" fontId="23" fillId="6" borderId="3" xfId="0" applyFont="1" applyFill="1" applyBorder="1" applyAlignment="1">
      <alignment horizontal="center" vertical="center"/>
    </xf>
    <xf numFmtId="0" fontId="23" fillId="5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DEEBF6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E799"/>
      <rgbColor rgb="FFA3DBFF"/>
      <rgbColor rgb="FFFF99CC"/>
      <rgbColor rgb="FFCC99FF"/>
      <rgbColor rgb="FFFFCC99"/>
      <rgbColor rgb="FF3366FF"/>
      <rgbColor rgb="FF33CCCC"/>
      <rgbColor rgb="FF99CC00"/>
      <rgbColor rgb="FFFFC000"/>
      <rgbColor rgb="FFBF9000"/>
      <rgbColor rgb="FFE46D0A"/>
      <rgbColor rgb="FF666699"/>
      <rgbColor rgb="FFA5A5A5"/>
      <rgbColor rgb="FF002060"/>
      <rgbColor rgb="FF00B050"/>
      <rgbColor rgb="FF003300"/>
      <rgbColor rgb="FF333300"/>
      <rgbColor rgb="FFC55A11"/>
      <rgbColor rgb="FF993366"/>
      <rgbColor rgb="FF333399"/>
      <rgbColor rgb="FF21252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36287</xdr:colOff>
      <xdr:row>2</xdr:row>
      <xdr:rowOff>94343</xdr:rowOff>
    </xdr:from>
    <xdr:to>
      <xdr:col>1</xdr:col>
      <xdr:colOff>1531258</xdr:colOff>
      <xdr:row>3</xdr:row>
      <xdr:rowOff>370115</xdr:rowOff>
    </xdr:to>
    <xdr:pic>
      <xdr:nvPicPr>
        <xdr:cNvPr id="2" name="7 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830" y="457200"/>
          <a:ext cx="1494971" cy="1052286"/>
        </a:xfrm>
        <a:prstGeom prst="rect">
          <a:avLst/>
        </a:prstGeom>
        <a:ln w="12700">
          <a:noFill/>
          <a:prstDash val="solid"/>
        </a:ln>
      </xdr:spPr>
    </xdr:pic>
    <xdr:clientData/>
  </xdr:twoCellAnchor>
  <xdr:twoCellAnchor editAs="oneCell">
    <xdr:from>
      <xdr:col>1</xdr:col>
      <xdr:colOff>36287</xdr:colOff>
      <xdr:row>17</xdr:row>
      <xdr:rowOff>94343</xdr:rowOff>
    </xdr:from>
    <xdr:to>
      <xdr:col>1</xdr:col>
      <xdr:colOff>1531258</xdr:colOff>
      <xdr:row>18</xdr:row>
      <xdr:rowOff>370115</xdr:rowOff>
    </xdr:to>
    <xdr:pic>
      <xdr:nvPicPr>
        <xdr:cNvPr id="3" name="7 Imagen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830" y="457200"/>
          <a:ext cx="1494971" cy="1052286"/>
        </a:xfrm>
        <a:prstGeom prst="rect">
          <a:avLst/>
        </a:prstGeom>
        <a:ln w="12700">
          <a:noFill/>
          <a:prstDash val="solid"/>
        </a:ln>
      </xdr:spPr>
    </xdr:pic>
    <xdr:clientData/>
  </xdr:twoCellAnchor>
  <xdr:twoCellAnchor editAs="oneCell">
    <xdr:from>
      <xdr:col>1</xdr:col>
      <xdr:colOff>36287</xdr:colOff>
      <xdr:row>32</xdr:row>
      <xdr:rowOff>94343</xdr:rowOff>
    </xdr:from>
    <xdr:to>
      <xdr:col>1</xdr:col>
      <xdr:colOff>1531258</xdr:colOff>
      <xdr:row>33</xdr:row>
      <xdr:rowOff>370115</xdr:rowOff>
    </xdr:to>
    <xdr:pic>
      <xdr:nvPicPr>
        <xdr:cNvPr id="4" name="7 Imagen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830" y="457200"/>
          <a:ext cx="1494971" cy="1052286"/>
        </a:xfrm>
        <a:prstGeom prst="rect">
          <a:avLst/>
        </a:prstGeom>
        <a:ln w="12700">
          <a:noFill/>
          <a:prstDash val="solid"/>
        </a:ln>
      </xdr:spPr>
    </xdr:pic>
    <xdr:clientData/>
  </xdr:twoCellAnchor>
  <xdr:twoCellAnchor editAs="oneCell">
    <xdr:from>
      <xdr:col>1</xdr:col>
      <xdr:colOff>36287</xdr:colOff>
      <xdr:row>47</xdr:row>
      <xdr:rowOff>94343</xdr:rowOff>
    </xdr:from>
    <xdr:to>
      <xdr:col>1</xdr:col>
      <xdr:colOff>1531258</xdr:colOff>
      <xdr:row>48</xdr:row>
      <xdr:rowOff>370115</xdr:rowOff>
    </xdr:to>
    <xdr:pic>
      <xdr:nvPicPr>
        <xdr:cNvPr id="5" name="7 Imagen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830" y="457200"/>
          <a:ext cx="1494971" cy="1052286"/>
        </a:xfrm>
        <a:prstGeom prst="rect">
          <a:avLst/>
        </a:prstGeom>
        <a:ln w="12700">
          <a:noFill/>
          <a:prstDash val="solid"/>
        </a:ln>
      </xdr:spPr>
    </xdr:pic>
    <xdr:clientData/>
  </xdr:twoCellAnchor>
  <xdr:twoCellAnchor editAs="oneCell">
    <xdr:from>
      <xdr:col>1</xdr:col>
      <xdr:colOff>36287</xdr:colOff>
      <xdr:row>62</xdr:row>
      <xdr:rowOff>94343</xdr:rowOff>
    </xdr:from>
    <xdr:to>
      <xdr:col>1</xdr:col>
      <xdr:colOff>1531258</xdr:colOff>
      <xdr:row>63</xdr:row>
      <xdr:rowOff>370115</xdr:rowOff>
    </xdr:to>
    <xdr:pic>
      <xdr:nvPicPr>
        <xdr:cNvPr id="6" name="7 Imagen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830" y="457200"/>
          <a:ext cx="1494971" cy="1052286"/>
        </a:xfrm>
        <a:prstGeom prst="rect">
          <a:avLst/>
        </a:prstGeom>
        <a:ln w="12700">
          <a:noFill/>
          <a:prstDash val="solid"/>
        </a:ln>
      </xdr:spPr>
    </xdr:pic>
    <xdr:clientData/>
  </xdr:twoCellAnchor>
  <xdr:twoCellAnchor editAs="oneCell">
    <xdr:from>
      <xdr:col>1</xdr:col>
      <xdr:colOff>36287</xdr:colOff>
      <xdr:row>77</xdr:row>
      <xdr:rowOff>94343</xdr:rowOff>
    </xdr:from>
    <xdr:to>
      <xdr:col>1</xdr:col>
      <xdr:colOff>1531258</xdr:colOff>
      <xdr:row>78</xdr:row>
      <xdr:rowOff>370115</xdr:rowOff>
    </xdr:to>
    <xdr:pic>
      <xdr:nvPicPr>
        <xdr:cNvPr id="7" name="7 Imagen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830" y="457200"/>
          <a:ext cx="1494971" cy="1052286"/>
        </a:xfrm>
        <a:prstGeom prst="rect">
          <a:avLst/>
        </a:prstGeom>
        <a:ln w="12700">
          <a:noFill/>
          <a:prstDash val="solid"/>
        </a:ln>
      </xdr:spPr>
    </xdr:pic>
    <xdr:clientData/>
  </xdr:twoCellAnchor>
  <xdr:twoCellAnchor editAs="oneCell">
    <xdr:from>
      <xdr:col>1</xdr:col>
      <xdr:colOff>36287</xdr:colOff>
      <xdr:row>92</xdr:row>
      <xdr:rowOff>94343</xdr:rowOff>
    </xdr:from>
    <xdr:to>
      <xdr:col>1</xdr:col>
      <xdr:colOff>1531258</xdr:colOff>
      <xdr:row>93</xdr:row>
      <xdr:rowOff>370115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830" y="457200"/>
          <a:ext cx="1494971" cy="1052286"/>
        </a:xfrm>
        <a:prstGeom prst="rect">
          <a:avLst/>
        </a:prstGeom>
        <a:ln w="12700">
          <a:noFill/>
          <a:prstDash val="solid"/>
        </a:ln>
      </xdr:spPr>
    </xdr:pic>
    <xdr:clientData/>
  </xdr:twoCellAnchor>
  <xdr:twoCellAnchor editAs="oneCell">
    <xdr:from>
      <xdr:col>1</xdr:col>
      <xdr:colOff>36287</xdr:colOff>
      <xdr:row>107</xdr:row>
      <xdr:rowOff>94343</xdr:rowOff>
    </xdr:from>
    <xdr:to>
      <xdr:col>1</xdr:col>
      <xdr:colOff>1531258</xdr:colOff>
      <xdr:row>108</xdr:row>
      <xdr:rowOff>370115</xdr:rowOff>
    </xdr:to>
    <xdr:pic>
      <xdr:nvPicPr>
        <xdr:cNvPr id="9" name="7 Imagen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830" y="457200"/>
          <a:ext cx="1494971" cy="1052286"/>
        </a:xfrm>
        <a:prstGeom prst="rect">
          <a:avLst/>
        </a:prstGeom>
        <a:ln w="12700">
          <a:noFill/>
          <a:prstDash val="solid"/>
        </a:ln>
      </xdr:spPr>
    </xdr:pic>
    <xdr:clientData/>
  </xdr:twoCellAnchor>
  <xdr:twoCellAnchor editAs="oneCell">
    <xdr:from>
      <xdr:col>1</xdr:col>
      <xdr:colOff>36287</xdr:colOff>
      <xdr:row>122</xdr:row>
      <xdr:rowOff>94343</xdr:rowOff>
    </xdr:from>
    <xdr:to>
      <xdr:col>1</xdr:col>
      <xdr:colOff>1531258</xdr:colOff>
      <xdr:row>123</xdr:row>
      <xdr:rowOff>370115</xdr:rowOff>
    </xdr:to>
    <xdr:pic>
      <xdr:nvPicPr>
        <xdr:cNvPr id="10" name="7 Imagen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830" y="457200"/>
          <a:ext cx="1494971" cy="1052286"/>
        </a:xfrm>
        <a:prstGeom prst="rect">
          <a:avLst/>
        </a:prstGeom>
        <a:ln w="12700">
          <a:noFill/>
          <a:prstDash val="solid"/>
        </a:ln>
      </xdr:spPr>
    </xdr:pic>
    <xdr:clientData/>
  </xdr:twoCellAnchor>
  <xdr:twoCellAnchor editAs="oneCell">
    <xdr:from>
      <xdr:col>1</xdr:col>
      <xdr:colOff>36287</xdr:colOff>
      <xdr:row>137</xdr:row>
      <xdr:rowOff>94343</xdr:rowOff>
    </xdr:from>
    <xdr:to>
      <xdr:col>1</xdr:col>
      <xdr:colOff>1531258</xdr:colOff>
      <xdr:row>138</xdr:row>
      <xdr:rowOff>370115</xdr:rowOff>
    </xdr:to>
    <xdr:pic>
      <xdr:nvPicPr>
        <xdr:cNvPr id="11" name="7 Imagen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830" y="457200"/>
          <a:ext cx="1494971" cy="1052286"/>
        </a:xfrm>
        <a:prstGeom prst="rect">
          <a:avLst/>
        </a:prstGeom>
        <a:ln w="12700">
          <a:noFill/>
          <a:prstDash val="solid"/>
        </a:ln>
      </xdr:spPr>
    </xdr:pic>
    <xdr:clientData/>
  </xdr:twoCellAnchor>
  <xdr:twoCellAnchor editAs="oneCell">
    <xdr:from>
      <xdr:col>1</xdr:col>
      <xdr:colOff>36287</xdr:colOff>
      <xdr:row>152</xdr:row>
      <xdr:rowOff>94343</xdr:rowOff>
    </xdr:from>
    <xdr:to>
      <xdr:col>1</xdr:col>
      <xdr:colOff>1531258</xdr:colOff>
      <xdr:row>153</xdr:row>
      <xdr:rowOff>370115</xdr:rowOff>
    </xdr:to>
    <xdr:pic>
      <xdr:nvPicPr>
        <xdr:cNvPr id="12" name="7 Imagen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830" y="457200"/>
          <a:ext cx="1494971" cy="1052286"/>
        </a:xfrm>
        <a:prstGeom prst="rect">
          <a:avLst/>
        </a:prstGeom>
        <a:ln w="12700">
          <a:noFill/>
          <a:prstDash val="solid"/>
        </a:ln>
      </xdr:spPr>
    </xdr:pic>
    <xdr:clientData/>
  </xdr:twoCellAnchor>
  <xdr:twoCellAnchor editAs="oneCell">
    <xdr:from>
      <xdr:col>1</xdr:col>
      <xdr:colOff>36287</xdr:colOff>
      <xdr:row>167</xdr:row>
      <xdr:rowOff>94343</xdr:rowOff>
    </xdr:from>
    <xdr:to>
      <xdr:col>1</xdr:col>
      <xdr:colOff>1531258</xdr:colOff>
      <xdr:row>168</xdr:row>
      <xdr:rowOff>370115</xdr:rowOff>
    </xdr:to>
    <xdr:pic>
      <xdr:nvPicPr>
        <xdr:cNvPr id="13" name="7 Imagen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830" y="457200"/>
          <a:ext cx="1494971" cy="1052286"/>
        </a:xfrm>
        <a:prstGeom prst="rect">
          <a:avLst/>
        </a:prstGeom>
        <a:ln w="12700">
          <a:noFill/>
          <a:prstDash val="solid"/>
        </a:ln>
      </xdr:spPr>
    </xdr:pic>
    <xdr:clientData/>
  </xdr:twoCellAnchor>
  <xdr:twoCellAnchor editAs="oneCell">
    <xdr:from>
      <xdr:col>1</xdr:col>
      <xdr:colOff>36287</xdr:colOff>
      <xdr:row>182</xdr:row>
      <xdr:rowOff>94343</xdr:rowOff>
    </xdr:from>
    <xdr:to>
      <xdr:col>1</xdr:col>
      <xdr:colOff>1531258</xdr:colOff>
      <xdr:row>183</xdr:row>
      <xdr:rowOff>370115</xdr:rowOff>
    </xdr:to>
    <xdr:pic>
      <xdr:nvPicPr>
        <xdr:cNvPr id="14" name="7 Imagen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830" y="457200"/>
          <a:ext cx="1494971" cy="1052286"/>
        </a:xfrm>
        <a:prstGeom prst="rect">
          <a:avLst/>
        </a:prstGeom>
        <a:ln w="12700">
          <a:noFill/>
          <a:prstDash val="solid"/>
        </a:ln>
      </xdr:spPr>
    </xdr:pic>
    <xdr:clientData/>
  </xdr:twoCellAnchor>
  <xdr:twoCellAnchor editAs="oneCell">
    <xdr:from>
      <xdr:col>1</xdr:col>
      <xdr:colOff>36287</xdr:colOff>
      <xdr:row>197</xdr:row>
      <xdr:rowOff>94343</xdr:rowOff>
    </xdr:from>
    <xdr:to>
      <xdr:col>1</xdr:col>
      <xdr:colOff>1531258</xdr:colOff>
      <xdr:row>198</xdr:row>
      <xdr:rowOff>370115</xdr:rowOff>
    </xdr:to>
    <xdr:pic>
      <xdr:nvPicPr>
        <xdr:cNvPr id="15" name="7 Imagen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830" y="457200"/>
          <a:ext cx="1494971" cy="1052286"/>
        </a:xfrm>
        <a:prstGeom prst="rect">
          <a:avLst/>
        </a:prstGeom>
        <a:ln w="12700">
          <a:noFill/>
          <a:prstDash val="solid"/>
        </a:ln>
      </xdr:spPr>
    </xdr:pic>
    <xdr:clientData/>
  </xdr:twoCellAnchor>
  <xdr:twoCellAnchor editAs="oneCell">
    <xdr:from>
      <xdr:col>1</xdr:col>
      <xdr:colOff>36287</xdr:colOff>
      <xdr:row>212</xdr:row>
      <xdr:rowOff>94343</xdr:rowOff>
    </xdr:from>
    <xdr:to>
      <xdr:col>1</xdr:col>
      <xdr:colOff>1531258</xdr:colOff>
      <xdr:row>213</xdr:row>
      <xdr:rowOff>370115</xdr:rowOff>
    </xdr:to>
    <xdr:pic>
      <xdr:nvPicPr>
        <xdr:cNvPr id="16" name="7 Imagen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830" y="457200"/>
          <a:ext cx="1494971" cy="1052286"/>
        </a:xfrm>
        <a:prstGeom prst="rect">
          <a:avLst/>
        </a:prstGeom>
        <a:ln w="12700">
          <a:noFill/>
          <a:prstDash val="solid"/>
        </a:ln>
      </xdr:spPr>
    </xdr:pic>
    <xdr:clientData/>
  </xdr:twoCellAnchor>
  <xdr:twoCellAnchor editAs="oneCell">
    <xdr:from>
      <xdr:col>1</xdr:col>
      <xdr:colOff>36287</xdr:colOff>
      <xdr:row>227</xdr:row>
      <xdr:rowOff>94343</xdr:rowOff>
    </xdr:from>
    <xdr:to>
      <xdr:col>1</xdr:col>
      <xdr:colOff>1531258</xdr:colOff>
      <xdr:row>228</xdr:row>
      <xdr:rowOff>370115</xdr:rowOff>
    </xdr:to>
    <xdr:pic>
      <xdr:nvPicPr>
        <xdr:cNvPr id="17" name="7 Imagen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830" y="457200"/>
          <a:ext cx="1494971" cy="1052286"/>
        </a:xfrm>
        <a:prstGeom prst="rect">
          <a:avLst/>
        </a:prstGeom>
        <a:ln w="12700">
          <a:noFill/>
          <a:prstDash val="solid"/>
        </a:ln>
      </xdr:spPr>
    </xdr:pic>
    <xdr:clientData/>
  </xdr:twoCellAnchor>
  <xdr:twoCellAnchor editAs="oneCell">
    <xdr:from>
      <xdr:col>1</xdr:col>
      <xdr:colOff>36287</xdr:colOff>
      <xdr:row>242</xdr:row>
      <xdr:rowOff>94343</xdr:rowOff>
    </xdr:from>
    <xdr:to>
      <xdr:col>1</xdr:col>
      <xdr:colOff>1531258</xdr:colOff>
      <xdr:row>243</xdr:row>
      <xdr:rowOff>370115</xdr:rowOff>
    </xdr:to>
    <xdr:pic>
      <xdr:nvPicPr>
        <xdr:cNvPr id="18" name="7 Imagen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830" y="457200"/>
          <a:ext cx="1494971" cy="1052286"/>
        </a:xfrm>
        <a:prstGeom prst="rect">
          <a:avLst/>
        </a:prstGeom>
        <a:ln w="12700">
          <a:noFill/>
          <a:prstDash val="solid"/>
        </a:ln>
      </xdr:spPr>
    </xdr:pic>
    <xdr:clientData/>
  </xdr:twoCellAnchor>
  <xdr:twoCellAnchor editAs="oneCell">
    <xdr:from>
      <xdr:col>1</xdr:col>
      <xdr:colOff>36287</xdr:colOff>
      <xdr:row>257</xdr:row>
      <xdr:rowOff>94343</xdr:rowOff>
    </xdr:from>
    <xdr:to>
      <xdr:col>1</xdr:col>
      <xdr:colOff>1531258</xdr:colOff>
      <xdr:row>258</xdr:row>
      <xdr:rowOff>370115</xdr:rowOff>
    </xdr:to>
    <xdr:pic>
      <xdr:nvPicPr>
        <xdr:cNvPr id="19" name="7 Imagen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830" y="457200"/>
          <a:ext cx="1494971" cy="1052286"/>
        </a:xfrm>
        <a:prstGeom prst="rect">
          <a:avLst/>
        </a:prstGeom>
        <a:ln w="12700">
          <a:noFill/>
          <a:prstDash val="solid"/>
        </a:ln>
      </xdr:spPr>
    </xdr:pic>
    <xdr:clientData/>
  </xdr:twoCellAnchor>
  <xdr:twoCellAnchor editAs="oneCell">
    <xdr:from>
      <xdr:col>1</xdr:col>
      <xdr:colOff>36287</xdr:colOff>
      <xdr:row>272</xdr:row>
      <xdr:rowOff>94343</xdr:rowOff>
    </xdr:from>
    <xdr:to>
      <xdr:col>1</xdr:col>
      <xdr:colOff>1531258</xdr:colOff>
      <xdr:row>273</xdr:row>
      <xdr:rowOff>370115</xdr:rowOff>
    </xdr:to>
    <xdr:pic>
      <xdr:nvPicPr>
        <xdr:cNvPr id="20" name="7 Imagen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830" y="457200"/>
          <a:ext cx="1494971" cy="1052286"/>
        </a:xfrm>
        <a:prstGeom prst="rect">
          <a:avLst/>
        </a:prstGeom>
        <a:ln w="12700">
          <a:noFill/>
          <a:prstDash val="solid"/>
        </a:ln>
      </xdr:spPr>
    </xdr:pic>
    <xdr:clientData/>
  </xdr:twoCellAnchor>
  <xdr:twoCellAnchor editAs="oneCell">
    <xdr:from>
      <xdr:col>1</xdr:col>
      <xdr:colOff>36287</xdr:colOff>
      <xdr:row>287</xdr:row>
      <xdr:rowOff>94343</xdr:rowOff>
    </xdr:from>
    <xdr:to>
      <xdr:col>1</xdr:col>
      <xdr:colOff>1531258</xdr:colOff>
      <xdr:row>288</xdr:row>
      <xdr:rowOff>370115</xdr:rowOff>
    </xdr:to>
    <xdr:pic>
      <xdr:nvPicPr>
        <xdr:cNvPr id="21" name="7 Imagen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830" y="457200"/>
          <a:ext cx="1494971" cy="1052286"/>
        </a:xfrm>
        <a:prstGeom prst="rect">
          <a:avLst/>
        </a:prstGeom>
        <a:ln w="12700">
          <a:noFill/>
          <a:prstDash val="solid"/>
        </a:ln>
      </xdr:spPr>
    </xdr:pic>
    <xdr:clientData/>
  </xdr:twoCellAnchor>
  <xdr:twoCellAnchor editAs="oneCell">
    <xdr:from>
      <xdr:col>1</xdr:col>
      <xdr:colOff>36287</xdr:colOff>
      <xdr:row>302</xdr:row>
      <xdr:rowOff>94343</xdr:rowOff>
    </xdr:from>
    <xdr:to>
      <xdr:col>1</xdr:col>
      <xdr:colOff>1531258</xdr:colOff>
      <xdr:row>303</xdr:row>
      <xdr:rowOff>370115</xdr:rowOff>
    </xdr:to>
    <xdr:pic>
      <xdr:nvPicPr>
        <xdr:cNvPr id="22" name="7 Imagen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830" y="457200"/>
          <a:ext cx="1494971" cy="1052286"/>
        </a:xfrm>
        <a:prstGeom prst="rect">
          <a:avLst/>
        </a:prstGeom>
        <a:ln w="12700">
          <a:noFill/>
          <a:prstDash val="solid"/>
        </a:ln>
      </xdr:spPr>
    </xdr:pic>
    <xdr:clientData/>
  </xdr:twoCellAnchor>
  <xdr:twoCellAnchor editAs="oneCell">
    <xdr:from>
      <xdr:col>1</xdr:col>
      <xdr:colOff>36287</xdr:colOff>
      <xdr:row>317</xdr:row>
      <xdr:rowOff>94343</xdr:rowOff>
    </xdr:from>
    <xdr:to>
      <xdr:col>1</xdr:col>
      <xdr:colOff>1531258</xdr:colOff>
      <xdr:row>318</xdr:row>
      <xdr:rowOff>370115</xdr:rowOff>
    </xdr:to>
    <xdr:pic>
      <xdr:nvPicPr>
        <xdr:cNvPr id="23" name="7 Imagen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830" y="457200"/>
          <a:ext cx="1494971" cy="1052286"/>
        </a:xfrm>
        <a:prstGeom prst="rect">
          <a:avLst/>
        </a:prstGeom>
        <a:ln w="12700">
          <a:noFill/>
          <a:prstDash val="solid"/>
        </a:ln>
      </xdr:spPr>
    </xdr:pic>
    <xdr:clientData/>
  </xdr:twoCellAnchor>
  <xdr:twoCellAnchor editAs="oneCell">
    <xdr:from>
      <xdr:col>1</xdr:col>
      <xdr:colOff>36287</xdr:colOff>
      <xdr:row>332</xdr:row>
      <xdr:rowOff>94343</xdr:rowOff>
    </xdr:from>
    <xdr:to>
      <xdr:col>1</xdr:col>
      <xdr:colOff>1531258</xdr:colOff>
      <xdr:row>333</xdr:row>
      <xdr:rowOff>370115</xdr:rowOff>
    </xdr:to>
    <xdr:pic>
      <xdr:nvPicPr>
        <xdr:cNvPr id="24" name="7 Imagen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830" y="457200"/>
          <a:ext cx="1494971" cy="1052286"/>
        </a:xfrm>
        <a:prstGeom prst="rect">
          <a:avLst/>
        </a:prstGeom>
        <a:ln w="12700">
          <a:noFill/>
          <a:prstDash val="solid"/>
        </a:ln>
      </xdr:spPr>
    </xdr:pic>
    <xdr:clientData/>
  </xdr:twoCellAnchor>
  <xdr:twoCellAnchor editAs="oneCell">
    <xdr:from>
      <xdr:col>1</xdr:col>
      <xdr:colOff>36287</xdr:colOff>
      <xdr:row>347</xdr:row>
      <xdr:rowOff>94343</xdr:rowOff>
    </xdr:from>
    <xdr:to>
      <xdr:col>1</xdr:col>
      <xdr:colOff>1531258</xdr:colOff>
      <xdr:row>348</xdr:row>
      <xdr:rowOff>370115</xdr:rowOff>
    </xdr:to>
    <xdr:pic>
      <xdr:nvPicPr>
        <xdr:cNvPr id="25" name="7 Imagen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830" y="457200"/>
          <a:ext cx="1494971" cy="1052286"/>
        </a:xfrm>
        <a:prstGeom prst="rect">
          <a:avLst/>
        </a:prstGeom>
        <a:ln w="12700">
          <a:noFill/>
          <a:prstDash val="solid"/>
        </a:ln>
      </xdr:spPr>
    </xdr:pic>
    <xdr:clientData/>
  </xdr:twoCellAnchor>
  <xdr:twoCellAnchor editAs="oneCell">
    <xdr:from>
      <xdr:col>1</xdr:col>
      <xdr:colOff>36287</xdr:colOff>
      <xdr:row>362</xdr:row>
      <xdr:rowOff>94343</xdr:rowOff>
    </xdr:from>
    <xdr:to>
      <xdr:col>1</xdr:col>
      <xdr:colOff>1531258</xdr:colOff>
      <xdr:row>363</xdr:row>
      <xdr:rowOff>370115</xdr:rowOff>
    </xdr:to>
    <xdr:pic>
      <xdr:nvPicPr>
        <xdr:cNvPr id="26" name="7 Imagen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830" y="457200"/>
          <a:ext cx="1494971" cy="1052286"/>
        </a:xfrm>
        <a:prstGeom prst="rect">
          <a:avLst/>
        </a:prstGeom>
        <a:ln w="12700">
          <a:noFill/>
          <a:prstDash val="solid"/>
        </a:ln>
      </xdr:spPr>
    </xdr:pic>
    <xdr:clientData/>
  </xdr:twoCellAnchor>
  <xdr:twoCellAnchor editAs="oneCell">
    <xdr:from>
      <xdr:col>1</xdr:col>
      <xdr:colOff>36287</xdr:colOff>
      <xdr:row>377</xdr:row>
      <xdr:rowOff>94343</xdr:rowOff>
    </xdr:from>
    <xdr:to>
      <xdr:col>1</xdr:col>
      <xdr:colOff>1531258</xdr:colOff>
      <xdr:row>378</xdr:row>
      <xdr:rowOff>370115</xdr:rowOff>
    </xdr:to>
    <xdr:pic>
      <xdr:nvPicPr>
        <xdr:cNvPr id="27" name="7 Imagen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830" y="457200"/>
          <a:ext cx="1494971" cy="1052286"/>
        </a:xfrm>
        <a:prstGeom prst="rect">
          <a:avLst/>
        </a:prstGeom>
        <a:ln w="12700">
          <a:noFill/>
          <a:prstDash val="solid"/>
        </a:ln>
      </xdr:spPr>
    </xdr:pic>
    <xdr:clientData/>
  </xdr:twoCellAnchor>
  <xdr:twoCellAnchor editAs="oneCell">
    <xdr:from>
      <xdr:col>1</xdr:col>
      <xdr:colOff>36287</xdr:colOff>
      <xdr:row>392</xdr:row>
      <xdr:rowOff>94343</xdr:rowOff>
    </xdr:from>
    <xdr:to>
      <xdr:col>1</xdr:col>
      <xdr:colOff>1531258</xdr:colOff>
      <xdr:row>393</xdr:row>
      <xdr:rowOff>370115</xdr:rowOff>
    </xdr:to>
    <xdr:pic>
      <xdr:nvPicPr>
        <xdr:cNvPr id="28" name="7 Imagen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830" y="457200"/>
          <a:ext cx="1494971" cy="1052286"/>
        </a:xfrm>
        <a:prstGeom prst="rect">
          <a:avLst/>
        </a:prstGeom>
        <a:ln w="12700">
          <a:noFill/>
          <a:prstDash val="solid"/>
        </a:ln>
      </xdr:spPr>
    </xdr:pic>
    <xdr:clientData/>
  </xdr:twoCellAnchor>
  <xdr:twoCellAnchor editAs="oneCell">
    <xdr:from>
      <xdr:col>1</xdr:col>
      <xdr:colOff>36287</xdr:colOff>
      <xdr:row>407</xdr:row>
      <xdr:rowOff>94343</xdr:rowOff>
    </xdr:from>
    <xdr:to>
      <xdr:col>1</xdr:col>
      <xdr:colOff>1531258</xdr:colOff>
      <xdr:row>408</xdr:row>
      <xdr:rowOff>370115</xdr:rowOff>
    </xdr:to>
    <xdr:pic>
      <xdr:nvPicPr>
        <xdr:cNvPr id="29" name="7 Imagen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830" y="457200"/>
          <a:ext cx="1494971" cy="1052286"/>
        </a:xfrm>
        <a:prstGeom prst="rect">
          <a:avLst/>
        </a:prstGeom>
        <a:ln w="12700">
          <a:noFill/>
          <a:prstDash val="solid"/>
        </a:ln>
      </xdr:spPr>
    </xdr:pic>
    <xdr:clientData/>
  </xdr:twoCellAnchor>
  <xdr:twoCellAnchor editAs="oneCell">
    <xdr:from>
      <xdr:col>1</xdr:col>
      <xdr:colOff>36287</xdr:colOff>
      <xdr:row>422</xdr:row>
      <xdr:rowOff>94343</xdr:rowOff>
    </xdr:from>
    <xdr:to>
      <xdr:col>1</xdr:col>
      <xdr:colOff>1531258</xdr:colOff>
      <xdr:row>423</xdr:row>
      <xdr:rowOff>370115</xdr:rowOff>
    </xdr:to>
    <xdr:pic>
      <xdr:nvPicPr>
        <xdr:cNvPr id="30" name="7 Imagen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830" y="457200"/>
          <a:ext cx="1494971" cy="1052286"/>
        </a:xfrm>
        <a:prstGeom prst="rect">
          <a:avLst/>
        </a:prstGeom>
        <a:ln w="12700">
          <a:noFill/>
          <a:prstDash val="solid"/>
        </a:ln>
      </xdr:spPr>
    </xdr:pic>
    <xdr:clientData/>
  </xdr:twoCellAnchor>
  <xdr:twoCellAnchor editAs="oneCell">
    <xdr:from>
      <xdr:col>1</xdr:col>
      <xdr:colOff>36287</xdr:colOff>
      <xdr:row>437</xdr:row>
      <xdr:rowOff>94343</xdr:rowOff>
    </xdr:from>
    <xdr:to>
      <xdr:col>1</xdr:col>
      <xdr:colOff>1531258</xdr:colOff>
      <xdr:row>438</xdr:row>
      <xdr:rowOff>370115</xdr:rowOff>
    </xdr:to>
    <xdr:pic>
      <xdr:nvPicPr>
        <xdr:cNvPr id="31" name="7 Imagen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830" y="457200"/>
          <a:ext cx="1494971" cy="1052286"/>
        </a:xfrm>
        <a:prstGeom prst="rect">
          <a:avLst/>
        </a:prstGeom>
        <a:ln w="12700">
          <a:noFill/>
          <a:prstDash val="solid"/>
        </a:ln>
      </xdr:spPr>
    </xdr:pic>
    <xdr:clientData/>
  </xdr:twoCellAnchor>
  <xdr:twoCellAnchor editAs="oneCell">
    <xdr:from>
      <xdr:col>1</xdr:col>
      <xdr:colOff>36287</xdr:colOff>
      <xdr:row>452</xdr:row>
      <xdr:rowOff>94343</xdr:rowOff>
    </xdr:from>
    <xdr:to>
      <xdr:col>1</xdr:col>
      <xdr:colOff>1531258</xdr:colOff>
      <xdr:row>453</xdr:row>
      <xdr:rowOff>370115</xdr:rowOff>
    </xdr:to>
    <xdr:pic>
      <xdr:nvPicPr>
        <xdr:cNvPr id="32" name="7 Imagen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830" y="457200"/>
          <a:ext cx="1494971" cy="1052286"/>
        </a:xfrm>
        <a:prstGeom prst="rect">
          <a:avLst/>
        </a:prstGeom>
        <a:ln w="12700">
          <a:noFill/>
          <a:prstDash val="solid"/>
        </a:ln>
      </xdr:spPr>
    </xdr:pic>
    <xdr:clientData/>
  </xdr:twoCellAnchor>
  <xdr:twoCellAnchor editAs="oneCell">
    <xdr:from>
      <xdr:col>1</xdr:col>
      <xdr:colOff>36287</xdr:colOff>
      <xdr:row>467</xdr:row>
      <xdr:rowOff>94343</xdr:rowOff>
    </xdr:from>
    <xdr:to>
      <xdr:col>1</xdr:col>
      <xdr:colOff>1531258</xdr:colOff>
      <xdr:row>468</xdr:row>
      <xdr:rowOff>370115</xdr:rowOff>
    </xdr:to>
    <xdr:pic>
      <xdr:nvPicPr>
        <xdr:cNvPr id="33" name="7 Imagen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830" y="457200"/>
          <a:ext cx="1494971" cy="1052286"/>
        </a:xfrm>
        <a:prstGeom prst="rect">
          <a:avLst/>
        </a:prstGeom>
        <a:ln w="12700">
          <a:noFill/>
          <a:prstDash val="solid"/>
        </a:ln>
      </xdr:spPr>
    </xdr:pic>
    <xdr:clientData/>
  </xdr:twoCellAnchor>
  <xdr:twoCellAnchor editAs="oneCell">
    <xdr:from>
      <xdr:col>1</xdr:col>
      <xdr:colOff>36287</xdr:colOff>
      <xdr:row>482</xdr:row>
      <xdr:rowOff>94343</xdr:rowOff>
    </xdr:from>
    <xdr:to>
      <xdr:col>1</xdr:col>
      <xdr:colOff>1531258</xdr:colOff>
      <xdr:row>483</xdr:row>
      <xdr:rowOff>370115</xdr:rowOff>
    </xdr:to>
    <xdr:pic>
      <xdr:nvPicPr>
        <xdr:cNvPr id="34" name="7 Imagen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830" y="457200"/>
          <a:ext cx="1494971" cy="1052286"/>
        </a:xfrm>
        <a:prstGeom prst="rect">
          <a:avLst/>
        </a:prstGeom>
        <a:ln w="12700">
          <a:noFill/>
          <a:prstDash val="solid"/>
        </a:ln>
      </xdr:spPr>
    </xdr:pic>
    <xdr:clientData/>
  </xdr:twoCellAnchor>
  <xdr:twoCellAnchor editAs="oneCell">
    <xdr:from>
      <xdr:col>1</xdr:col>
      <xdr:colOff>36287</xdr:colOff>
      <xdr:row>497</xdr:row>
      <xdr:rowOff>94343</xdr:rowOff>
    </xdr:from>
    <xdr:to>
      <xdr:col>1</xdr:col>
      <xdr:colOff>1531258</xdr:colOff>
      <xdr:row>498</xdr:row>
      <xdr:rowOff>370115</xdr:rowOff>
    </xdr:to>
    <xdr:pic>
      <xdr:nvPicPr>
        <xdr:cNvPr id="35" name="7 Imagen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830" y="457200"/>
          <a:ext cx="1494971" cy="1052286"/>
        </a:xfrm>
        <a:prstGeom prst="rect">
          <a:avLst/>
        </a:prstGeom>
        <a:ln w="12700">
          <a:noFill/>
          <a:prstDash val="solid"/>
        </a:ln>
      </xdr:spPr>
    </xdr:pic>
    <xdr:clientData/>
  </xdr:twoCellAnchor>
  <xdr:twoCellAnchor editAs="oneCell">
    <xdr:from>
      <xdr:col>1</xdr:col>
      <xdr:colOff>36287</xdr:colOff>
      <xdr:row>512</xdr:row>
      <xdr:rowOff>94343</xdr:rowOff>
    </xdr:from>
    <xdr:to>
      <xdr:col>1</xdr:col>
      <xdr:colOff>1531258</xdr:colOff>
      <xdr:row>513</xdr:row>
      <xdr:rowOff>370115</xdr:rowOff>
    </xdr:to>
    <xdr:pic>
      <xdr:nvPicPr>
        <xdr:cNvPr id="36" name="7 Imagen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830" y="457200"/>
          <a:ext cx="1494971" cy="1052286"/>
        </a:xfrm>
        <a:prstGeom prst="rect">
          <a:avLst/>
        </a:prstGeom>
        <a:ln w="12700">
          <a:noFill/>
          <a:prstDash val="solid"/>
        </a:ln>
      </xdr:spPr>
    </xdr:pic>
    <xdr:clientData/>
  </xdr:twoCellAnchor>
  <xdr:twoCellAnchor editAs="oneCell">
    <xdr:from>
      <xdr:col>1</xdr:col>
      <xdr:colOff>36287</xdr:colOff>
      <xdr:row>527</xdr:row>
      <xdr:rowOff>94343</xdr:rowOff>
    </xdr:from>
    <xdr:to>
      <xdr:col>1</xdr:col>
      <xdr:colOff>1531258</xdr:colOff>
      <xdr:row>528</xdr:row>
      <xdr:rowOff>370115</xdr:rowOff>
    </xdr:to>
    <xdr:pic>
      <xdr:nvPicPr>
        <xdr:cNvPr id="37" name="7 Imagen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830" y="457200"/>
          <a:ext cx="1494971" cy="1052286"/>
        </a:xfrm>
        <a:prstGeom prst="rect">
          <a:avLst/>
        </a:prstGeom>
        <a:ln w="12700">
          <a:noFill/>
          <a:prstDash val="solid"/>
        </a:ln>
      </xdr:spPr>
    </xdr:pic>
    <xdr:clientData/>
  </xdr:twoCellAnchor>
  <xdr:twoCellAnchor editAs="oneCell">
    <xdr:from>
      <xdr:col>1</xdr:col>
      <xdr:colOff>36287</xdr:colOff>
      <xdr:row>542</xdr:row>
      <xdr:rowOff>94343</xdr:rowOff>
    </xdr:from>
    <xdr:to>
      <xdr:col>1</xdr:col>
      <xdr:colOff>1531258</xdr:colOff>
      <xdr:row>543</xdr:row>
      <xdr:rowOff>370115</xdr:rowOff>
    </xdr:to>
    <xdr:pic>
      <xdr:nvPicPr>
        <xdr:cNvPr id="38" name="7 Imagen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830" y="457200"/>
          <a:ext cx="1494971" cy="1052286"/>
        </a:xfrm>
        <a:prstGeom prst="rect">
          <a:avLst/>
        </a:prstGeom>
        <a:ln w="12700">
          <a:noFill/>
          <a:prstDash val="solid"/>
        </a:ln>
      </xdr:spPr>
    </xdr:pic>
    <xdr:clientData/>
  </xdr:twoCellAnchor>
  <xdr:twoCellAnchor editAs="oneCell">
    <xdr:from>
      <xdr:col>1</xdr:col>
      <xdr:colOff>36287</xdr:colOff>
      <xdr:row>557</xdr:row>
      <xdr:rowOff>94343</xdr:rowOff>
    </xdr:from>
    <xdr:to>
      <xdr:col>1</xdr:col>
      <xdr:colOff>1531258</xdr:colOff>
      <xdr:row>558</xdr:row>
      <xdr:rowOff>370115</xdr:rowOff>
    </xdr:to>
    <xdr:pic>
      <xdr:nvPicPr>
        <xdr:cNvPr id="39" name="7 Imagen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830" y="457200"/>
          <a:ext cx="1494971" cy="1052286"/>
        </a:xfrm>
        <a:prstGeom prst="rect">
          <a:avLst/>
        </a:prstGeom>
        <a:ln w="12700">
          <a:noFill/>
          <a:prstDash val="solid"/>
        </a:ln>
      </xdr:spPr>
    </xdr:pic>
    <xdr:clientData/>
  </xdr:twoCellAnchor>
  <xdr:twoCellAnchor editAs="oneCell">
    <xdr:from>
      <xdr:col>1</xdr:col>
      <xdr:colOff>36287</xdr:colOff>
      <xdr:row>572</xdr:row>
      <xdr:rowOff>94343</xdr:rowOff>
    </xdr:from>
    <xdr:to>
      <xdr:col>1</xdr:col>
      <xdr:colOff>1531258</xdr:colOff>
      <xdr:row>573</xdr:row>
      <xdr:rowOff>370115</xdr:rowOff>
    </xdr:to>
    <xdr:pic>
      <xdr:nvPicPr>
        <xdr:cNvPr id="40" name="7 Imagen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830" y="457200"/>
          <a:ext cx="1494971" cy="1052286"/>
        </a:xfrm>
        <a:prstGeom prst="rect">
          <a:avLst/>
        </a:prstGeom>
        <a:ln w="12700">
          <a:noFill/>
          <a:prstDash val="solid"/>
        </a:ln>
      </xdr:spPr>
    </xdr:pic>
    <xdr:clientData/>
  </xdr:twoCellAnchor>
  <xdr:twoCellAnchor editAs="oneCell">
    <xdr:from>
      <xdr:col>1</xdr:col>
      <xdr:colOff>36287</xdr:colOff>
      <xdr:row>587</xdr:row>
      <xdr:rowOff>94343</xdr:rowOff>
    </xdr:from>
    <xdr:to>
      <xdr:col>1</xdr:col>
      <xdr:colOff>1531258</xdr:colOff>
      <xdr:row>588</xdr:row>
      <xdr:rowOff>370115</xdr:rowOff>
    </xdr:to>
    <xdr:pic>
      <xdr:nvPicPr>
        <xdr:cNvPr id="41" name="7 Imagen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830" y="457200"/>
          <a:ext cx="1494971" cy="1052286"/>
        </a:xfrm>
        <a:prstGeom prst="rect">
          <a:avLst/>
        </a:prstGeom>
        <a:ln w="12700">
          <a:noFill/>
          <a:prstDash val="solid"/>
        </a:ln>
      </xdr:spPr>
    </xdr:pic>
    <xdr:clientData/>
  </xdr:twoCellAnchor>
  <xdr:twoCellAnchor editAs="oneCell">
    <xdr:from>
      <xdr:col>1</xdr:col>
      <xdr:colOff>36287</xdr:colOff>
      <xdr:row>602</xdr:row>
      <xdr:rowOff>94343</xdr:rowOff>
    </xdr:from>
    <xdr:to>
      <xdr:col>1</xdr:col>
      <xdr:colOff>1531258</xdr:colOff>
      <xdr:row>603</xdr:row>
      <xdr:rowOff>370115</xdr:rowOff>
    </xdr:to>
    <xdr:pic>
      <xdr:nvPicPr>
        <xdr:cNvPr id="42" name="7 Imagen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830" y="457200"/>
          <a:ext cx="1494971" cy="1052286"/>
        </a:xfrm>
        <a:prstGeom prst="rect">
          <a:avLst/>
        </a:prstGeom>
        <a:ln w="12700">
          <a:noFill/>
          <a:prstDash val="solid"/>
        </a:ln>
      </xdr:spPr>
    </xdr:pic>
    <xdr:clientData/>
  </xdr:twoCellAnchor>
  <xdr:twoCellAnchor editAs="oneCell">
    <xdr:from>
      <xdr:col>1</xdr:col>
      <xdr:colOff>36287</xdr:colOff>
      <xdr:row>617</xdr:row>
      <xdr:rowOff>94343</xdr:rowOff>
    </xdr:from>
    <xdr:to>
      <xdr:col>1</xdr:col>
      <xdr:colOff>1531258</xdr:colOff>
      <xdr:row>618</xdr:row>
      <xdr:rowOff>370115</xdr:rowOff>
    </xdr:to>
    <xdr:pic>
      <xdr:nvPicPr>
        <xdr:cNvPr id="43" name="7 Imagen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830" y="457200"/>
          <a:ext cx="1494971" cy="1052286"/>
        </a:xfrm>
        <a:prstGeom prst="rect">
          <a:avLst/>
        </a:prstGeom>
        <a:ln w="12700">
          <a:noFill/>
          <a:prstDash val="solid"/>
        </a:ln>
      </xdr:spPr>
    </xdr:pic>
    <xdr:clientData/>
  </xdr:twoCellAnchor>
  <xdr:twoCellAnchor editAs="oneCell">
    <xdr:from>
      <xdr:col>1</xdr:col>
      <xdr:colOff>36287</xdr:colOff>
      <xdr:row>632</xdr:row>
      <xdr:rowOff>94343</xdr:rowOff>
    </xdr:from>
    <xdr:to>
      <xdr:col>1</xdr:col>
      <xdr:colOff>1531258</xdr:colOff>
      <xdr:row>633</xdr:row>
      <xdr:rowOff>370115</xdr:rowOff>
    </xdr:to>
    <xdr:pic>
      <xdr:nvPicPr>
        <xdr:cNvPr id="44" name="7 Imagen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830" y="457200"/>
          <a:ext cx="1494971" cy="1052286"/>
        </a:xfrm>
        <a:prstGeom prst="rect">
          <a:avLst/>
        </a:prstGeom>
        <a:ln w="12700">
          <a:noFill/>
          <a:prstDash val="solid"/>
        </a:ln>
      </xdr:spPr>
    </xdr:pic>
    <xdr:clientData/>
  </xdr:twoCellAnchor>
  <xdr:twoCellAnchor editAs="oneCell">
    <xdr:from>
      <xdr:col>1</xdr:col>
      <xdr:colOff>36287</xdr:colOff>
      <xdr:row>647</xdr:row>
      <xdr:rowOff>94343</xdr:rowOff>
    </xdr:from>
    <xdr:to>
      <xdr:col>1</xdr:col>
      <xdr:colOff>1531258</xdr:colOff>
      <xdr:row>648</xdr:row>
      <xdr:rowOff>370115</xdr:rowOff>
    </xdr:to>
    <xdr:pic>
      <xdr:nvPicPr>
        <xdr:cNvPr id="45" name="7 Imagen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830" y="457200"/>
          <a:ext cx="1494971" cy="1052286"/>
        </a:xfrm>
        <a:prstGeom prst="rect">
          <a:avLst/>
        </a:prstGeom>
        <a:ln w="12700">
          <a:noFill/>
          <a:prstDash val="solid"/>
        </a:ln>
      </xdr:spPr>
    </xdr:pic>
    <xdr:clientData/>
  </xdr:twoCellAnchor>
  <xdr:twoCellAnchor editAs="oneCell">
    <xdr:from>
      <xdr:col>1</xdr:col>
      <xdr:colOff>36287</xdr:colOff>
      <xdr:row>662</xdr:row>
      <xdr:rowOff>94343</xdr:rowOff>
    </xdr:from>
    <xdr:to>
      <xdr:col>1</xdr:col>
      <xdr:colOff>1531258</xdr:colOff>
      <xdr:row>663</xdr:row>
      <xdr:rowOff>370115</xdr:rowOff>
    </xdr:to>
    <xdr:pic>
      <xdr:nvPicPr>
        <xdr:cNvPr id="46" name="7 Imagen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830" y="457200"/>
          <a:ext cx="1494971" cy="1052286"/>
        </a:xfrm>
        <a:prstGeom prst="rect">
          <a:avLst/>
        </a:prstGeom>
        <a:ln w="12700">
          <a:noFill/>
          <a:prstDash val="solid"/>
        </a:ln>
      </xdr:spPr>
    </xdr:pic>
    <xdr:clientData/>
  </xdr:twoCellAnchor>
  <xdr:twoCellAnchor editAs="oneCell">
    <xdr:from>
      <xdr:col>1</xdr:col>
      <xdr:colOff>36287</xdr:colOff>
      <xdr:row>677</xdr:row>
      <xdr:rowOff>94343</xdr:rowOff>
    </xdr:from>
    <xdr:to>
      <xdr:col>1</xdr:col>
      <xdr:colOff>1531258</xdr:colOff>
      <xdr:row>678</xdr:row>
      <xdr:rowOff>370115</xdr:rowOff>
    </xdr:to>
    <xdr:pic>
      <xdr:nvPicPr>
        <xdr:cNvPr id="47" name="7 Imagen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830" y="457200"/>
          <a:ext cx="1494971" cy="1052286"/>
        </a:xfrm>
        <a:prstGeom prst="rect">
          <a:avLst/>
        </a:prstGeom>
        <a:ln w="12700">
          <a:noFill/>
          <a:prstDash val="solid"/>
        </a:ln>
      </xdr:spPr>
    </xdr:pic>
    <xdr:clientData/>
  </xdr:twoCellAnchor>
  <xdr:twoCellAnchor editAs="oneCell">
    <xdr:from>
      <xdr:col>1</xdr:col>
      <xdr:colOff>36287</xdr:colOff>
      <xdr:row>692</xdr:row>
      <xdr:rowOff>94343</xdr:rowOff>
    </xdr:from>
    <xdr:to>
      <xdr:col>1</xdr:col>
      <xdr:colOff>1531258</xdr:colOff>
      <xdr:row>693</xdr:row>
      <xdr:rowOff>370115</xdr:rowOff>
    </xdr:to>
    <xdr:pic>
      <xdr:nvPicPr>
        <xdr:cNvPr id="48" name="7 Imagen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830" y="457200"/>
          <a:ext cx="1494971" cy="1052286"/>
        </a:xfrm>
        <a:prstGeom prst="rect">
          <a:avLst/>
        </a:prstGeom>
        <a:ln w="12700">
          <a:noFill/>
          <a:prstDash val="solid"/>
        </a:ln>
      </xdr:spPr>
    </xdr:pic>
    <xdr:clientData/>
  </xdr:twoCellAnchor>
  <xdr:twoCellAnchor editAs="oneCell">
    <xdr:from>
      <xdr:col>1</xdr:col>
      <xdr:colOff>36287</xdr:colOff>
      <xdr:row>707</xdr:row>
      <xdr:rowOff>94343</xdr:rowOff>
    </xdr:from>
    <xdr:to>
      <xdr:col>1</xdr:col>
      <xdr:colOff>1531258</xdr:colOff>
      <xdr:row>708</xdr:row>
      <xdr:rowOff>370115</xdr:rowOff>
    </xdr:to>
    <xdr:pic>
      <xdr:nvPicPr>
        <xdr:cNvPr id="49" name="7 Imagen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830" y="457200"/>
          <a:ext cx="1494971" cy="1052286"/>
        </a:xfrm>
        <a:prstGeom prst="rect">
          <a:avLst/>
        </a:prstGeom>
        <a:ln w="12700">
          <a:noFill/>
          <a:prstDash val="solid"/>
        </a:ln>
      </xdr:spPr>
    </xdr:pic>
    <xdr:clientData/>
  </xdr:twoCellAnchor>
  <xdr:twoCellAnchor editAs="oneCell">
    <xdr:from>
      <xdr:col>1</xdr:col>
      <xdr:colOff>36287</xdr:colOff>
      <xdr:row>722</xdr:row>
      <xdr:rowOff>94343</xdr:rowOff>
    </xdr:from>
    <xdr:to>
      <xdr:col>1</xdr:col>
      <xdr:colOff>1531258</xdr:colOff>
      <xdr:row>723</xdr:row>
      <xdr:rowOff>370115</xdr:rowOff>
    </xdr:to>
    <xdr:pic>
      <xdr:nvPicPr>
        <xdr:cNvPr id="50" name="7 Imagen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830" y="457200"/>
          <a:ext cx="1494971" cy="1052286"/>
        </a:xfrm>
        <a:prstGeom prst="rect">
          <a:avLst/>
        </a:prstGeom>
        <a:ln w="12700">
          <a:noFill/>
          <a:prstDash val="solid"/>
        </a:ln>
      </xdr:spPr>
    </xdr:pic>
    <xdr:clientData/>
  </xdr:twoCellAnchor>
  <xdr:twoCellAnchor editAs="oneCell">
    <xdr:from>
      <xdr:col>1</xdr:col>
      <xdr:colOff>36287</xdr:colOff>
      <xdr:row>737</xdr:row>
      <xdr:rowOff>94343</xdr:rowOff>
    </xdr:from>
    <xdr:to>
      <xdr:col>1</xdr:col>
      <xdr:colOff>1531258</xdr:colOff>
      <xdr:row>738</xdr:row>
      <xdr:rowOff>370115</xdr:rowOff>
    </xdr:to>
    <xdr:pic>
      <xdr:nvPicPr>
        <xdr:cNvPr id="51" name="7 Imagen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830" y="457200"/>
          <a:ext cx="1494971" cy="1052286"/>
        </a:xfrm>
        <a:prstGeom prst="rect">
          <a:avLst/>
        </a:prstGeom>
        <a:ln w="12700">
          <a:noFill/>
          <a:prstDash val="solid"/>
        </a:ln>
      </xdr:spPr>
    </xdr:pic>
    <xdr:clientData/>
  </xdr:twoCellAnchor>
  <xdr:twoCellAnchor editAs="oneCell">
    <xdr:from>
      <xdr:col>1</xdr:col>
      <xdr:colOff>36287</xdr:colOff>
      <xdr:row>752</xdr:row>
      <xdr:rowOff>94343</xdr:rowOff>
    </xdr:from>
    <xdr:to>
      <xdr:col>1</xdr:col>
      <xdr:colOff>1531258</xdr:colOff>
      <xdr:row>753</xdr:row>
      <xdr:rowOff>370115</xdr:rowOff>
    </xdr:to>
    <xdr:pic>
      <xdr:nvPicPr>
        <xdr:cNvPr id="52" name="7 Imagen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830" y="457200"/>
          <a:ext cx="1494971" cy="1052286"/>
        </a:xfrm>
        <a:prstGeom prst="rect">
          <a:avLst/>
        </a:prstGeom>
        <a:ln w="12700">
          <a:noFill/>
          <a:prstDash val="solid"/>
        </a:ln>
      </xdr:spPr>
    </xdr:pic>
    <xdr:clientData/>
  </xdr:twoCellAnchor>
  <xdr:twoCellAnchor editAs="oneCell">
    <xdr:from>
      <xdr:col>1</xdr:col>
      <xdr:colOff>36287</xdr:colOff>
      <xdr:row>767</xdr:row>
      <xdr:rowOff>94343</xdr:rowOff>
    </xdr:from>
    <xdr:to>
      <xdr:col>1</xdr:col>
      <xdr:colOff>1531258</xdr:colOff>
      <xdr:row>768</xdr:row>
      <xdr:rowOff>370115</xdr:rowOff>
    </xdr:to>
    <xdr:pic>
      <xdr:nvPicPr>
        <xdr:cNvPr id="53" name="7 Imagen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830" y="457200"/>
          <a:ext cx="1494971" cy="1052286"/>
        </a:xfrm>
        <a:prstGeom prst="rect">
          <a:avLst/>
        </a:prstGeom>
        <a:ln w="12700">
          <a:noFill/>
          <a:prstDash val="solid"/>
        </a:ln>
      </xdr:spPr>
    </xdr:pic>
    <xdr:clientData/>
  </xdr:twoCellAnchor>
  <xdr:twoCellAnchor editAs="oneCell">
    <xdr:from>
      <xdr:col>1</xdr:col>
      <xdr:colOff>36287</xdr:colOff>
      <xdr:row>782</xdr:row>
      <xdr:rowOff>94343</xdr:rowOff>
    </xdr:from>
    <xdr:to>
      <xdr:col>1</xdr:col>
      <xdr:colOff>1531258</xdr:colOff>
      <xdr:row>783</xdr:row>
      <xdr:rowOff>370115</xdr:rowOff>
    </xdr:to>
    <xdr:pic>
      <xdr:nvPicPr>
        <xdr:cNvPr id="54" name="7 Imagen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830" y="457200"/>
          <a:ext cx="1494971" cy="1052286"/>
        </a:xfrm>
        <a:prstGeom prst="rect">
          <a:avLst/>
        </a:prstGeom>
        <a:ln w="12700">
          <a:noFill/>
          <a:prstDash val="solid"/>
        </a:ln>
      </xdr:spPr>
    </xdr:pic>
    <xdr:clientData/>
  </xdr:twoCellAnchor>
  <xdr:twoCellAnchor editAs="oneCell">
    <xdr:from>
      <xdr:col>1</xdr:col>
      <xdr:colOff>36287</xdr:colOff>
      <xdr:row>797</xdr:row>
      <xdr:rowOff>94343</xdr:rowOff>
    </xdr:from>
    <xdr:to>
      <xdr:col>1</xdr:col>
      <xdr:colOff>1531258</xdr:colOff>
      <xdr:row>798</xdr:row>
      <xdr:rowOff>370115</xdr:rowOff>
    </xdr:to>
    <xdr:pic>
      <xdr:nvPicPr>
        <xdr:cNvPr id="55" name="7 Imagen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830" y="457200"/>
          <a:ext cx="1494971" cy="1052286"/>
        </a:xfrm>
        <a:prstGeom prst="rect">
          <a:avLst/>
        </a:prstGeom>
        <a:ln w="12700">
          <a:noFill/>
          <a:prstDash val="solid"/>
        </a:ln>
      </xdr:spPr>
    </xdr:pic>
    <xdr:clientData/>
  </xdr:twoCellAnchor>
  <xdr:twoCellAnchor editAs="oneCell">
    <xdr:from>
      <xdr:col>1</xdr:col>
      <xdr:colOff>36287</xdr:colOff>
      <xdr:row>812</xdr:row>
      <xdr:rowOff>94343</xdr:rowOff>
    </xdr:from>
    <xdr:to>
      <xdr:col>1</xdr:col>
      <xdr:colOff>1531258</xdr:colOff>
      <xdr:row>813</xdr:row>
      <xdr:rowOff>370115</xdr:rowOff>
    </xdr:to>
    <xdr:pic>
      <xdr:nvPicPr>
        <xdr:cNvPr id="56" name="7 Imagen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830" y="457200"/>
          <a:ext cx="1494971" cy="1052286"/>
        </a:xfrm>
        <a:prstGeom prst="rect">
          <a:avLst/>
        </a:prstGeom>
        <a:ln w="12700">
          <a:noFill/>
          <a:prstDash val="solid"/>
        </a:ln>
      </xdr:spPr>
    </xdr:pic>
    <xdr:clientData/>
  </xdr:twoCellAnchor>
  <xdr:twoCellAnchor editAs="oneCell">
    <xdr:from>
      <xdr:col>1</xdr:col>
      <xdr:colOff>36287</xdr:colOff>
      <xdr:row>827</xdr:row>
      <xdr:rowOff>94343</xdr:rowOff>
    </xdr:from>
    <xdr:to>
      <xdr:col>1</xdr:col>
      <xdr:colOff>1531258</xdr:colOff>
      <xdr:row>828</xdr:row>
      <xdr:rowOff>370115</xdr:rowOff>
    </xdr:to>
    <xdr:pic>
      <xdr:nvPicPr>
        <xdr:cNvPr id="57" name="7 Imagen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830" y="457200"/>
          <a:ext cx="1494971" cy="1052286"/>
        </a:xfrm>
        <a:prstGeom prst="rect">
          <a:avLst/>
        </a:prstGeom>
        <a:ln w="12700">
          <a:noFill/>
          <a:prstDash val="solid"/>
        </a:ln>
      </xdr:spPr>
    </xdr:pic>
    <xdr:clientData/>
  </xdr:twoCellAnchor>
  <xdr:twoCellAnchor editAs="oneCell">
    <xdr:from>
      <xdr:col>1</xdr:col>
      <xdr:colOff>36287</xdr:colOff>
      <xdr:row>842</xdr:row>
      <xdr:rowOff>94343</xdr:rowOff>
    </xdr:from>
    <xdr:to>
      <xdr:col>1</xdr:col>
      <xdr:colOff>1531258</xdr:colOff>
      <xdr:row>843</xdr:row>
      <xdr:rowOff>370115</xdr:rowOff>
    </xdr:to>
    <xdr:pic>
      <xdr:nvPicPr>
        <xdr:cNvPr id="58" name="7 Imagen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830" y="457200"/>
          <a:ext cx="1494971" cy="1052286"/>
        </a:xfrm>
        <a:prstGeom prst="rect">
          <a:avLst/>
        </a:prstGeom>
        <a:ln w="12700">
          <a:noFill/>
          <a:prstDash val="solid"/>
        </a:ln>
      </xdr:spPr>
    </xdr:pic>
    <xdr:clientData/>
  </xdr:twoCellAnchor>
  <xdr:twoCellAnchor editAs="oneCell">
    <xdr:from>
      <xdr:col>1</xdr:col>
      <xdr:colOff>36287</xdr:colOff>
      <xdr:row>857</xdr:row>
      <xdr:rowOff>94343</xdr:rowOff>
    </xdr:from>
    <xdr:to>
      <xdr:col>1</xdr:col>
      <xdr:colOff>1531258</xdr:colOff>
      <xdr:row>858</xdr:row>
      <xdr:rowOff>370115</xdr:rowOff>
    </xdr:to>
    <xdr:pic>
      <xdr:nvPicPr>
        <xdr:cNvPr id="59" name="7 Imagen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830" y="457200"/>
          <a:ext cx="1494971" cy="1052286"/>
        </a:xfrm>
        <a:prstGeom prst="rect">
          <a:avLst/>
        </a:prstGeom>
        <a:ln w="12700">
          <a:noFill/>
          <a:prstDash val="solid"/>
        </a:ln>
      </xdr:spPr>
    </xdr:pic>
    <xdr:clientData/>
  </xdr:twoCellAnchor>
  <xdr:twoCellAnchor editAs="oneCell">
    <xdr:from>
      <xdr:col>1</xdr:col>
      <xdr:colOff>36287</xdr:colOff>
      <xdr:row>872</xdr:row>
      <xdr:rowOff>94343</xdr:rowOff>
    </xdr:from>
    <xdr:to>
      <xdr:col>1</xdr:col>
      <xdr:colOff>1531258</xdr:colOff>
      <xdr:row>873</xdr:row>
      <xdr:rowOff>370115</xdr:rowOff>
    </xdr:to>
    <xdr:pic>
      <xdr:nvPicPr>
        <xdr:cNvPr id="60" name="7 Imagen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830" y="457200"/>
          <a:ext cx="1494971" cy="1052286"/>
        </a:xfrm>
        <a:prstGeom prst="rect">
          <a:avLst/>
        </a:prstGeom>
        <a:ln w="12700">
          <a:noFill/>
          <a:prstDash val="solid"/>
        </a:ln>
      </xdr:spPr>
    </xdr:pic>
    <xdr:clientData/>
  </xdr:twoCellAnchor>
  <xdr:twoCellAnchor editAs="oneCell">
    <xdr:from>
      <xdr:col>1</xdr:col>
      <xdr:colOff>36287</xdr:colOff>
      <xdr:row>887</xdr:row>
      <xdr:rowOff>94343</xdr:rowOff>
    </xdr:from>
    <xdr:to>
      <xdr:col>1</xdr:col>
      <xdr:colOff>1531258</xdr:colOff>
      <xdr:row>888</xdr:row>
      <xdr:rowOff>370115</xdr:rowOff>
    </xdr:to>
    <xdr:pic>
      <xdr:nvPicPr>
        <xdr:cNvPr id="61" name="7 Imagen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830" y="457200"/>
          <a:ext cx="1494971" cy="1052286"/>
        </a:xfrm>
        <a:prstGeom prst="rect">
          <a:avLst/>
        </a:prstGeom>
        <a:ln w="12700">
          <a:noFill/>
          <a:prstDash val="solid"/>
        </a:ln>
      </xdr:spPr>
    </xdr:pic>
    <xdr:clientData/>
  </xdr:twoCellAnchor>
  <xdr:twoCellAnchor editAs="oneCell">
    <xdr:from>
      <xdr:col>1</xdr:col>
      <xdr:colOff>36287</xdr:colOff>
      <xdr:row>902</xdr:row>
      <xdr:rowOff>94343</xdr:rowOff>
    </xdr:from>
    <xdr:to>
      <xdr:col>1</xdr:col>
      <xdr:colOff>1531258</xdr:colOff>
      <xdr:row>903</xdr:row>
      <xdr:rowOff>370115</xdr:rowOff>
    </xdr:to>
    <xdr:pic>
      <xdr:nvPicPr>
        <xdr:cNvPr id="62" name="7 Imagen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830" y="457200"/>
          <a:ext cx="1494971" cy="1052286"/>
        </a:xfrm>
        <a:prstGeom prst="rect">
          <a:avLst/>
        </a:prstGeom>
        <a:ln w="12700">
          <a:noFill/>
          <a:prstDash val="solid"/>
        </a:ln>
      </xdr:spPr>
    </xdr:pic>
    <xdr:clientData/>
  </xdr:twoCellAnchor>
  <xdr:twoCellAnchor editAs="oneCell">
    <xdr:from>
      <xdr:col>1</xdr:col>
      <xdr:colOff>36287</xdr:colOff>
      <xdr:row>917</xdr:row>
      <xdr:rowOff>94343</xdr:rowOff>
    </xdr:from>
    <xdr:to>
      <xdr:col>1</xdr:col>
      <xdr:colOff>1531258</xdr:colOff>
      <xdr:row>918</xdr:row>
      <xdr:rowOff>370115</xdr:rowOff>
    </xdr:to>
    <xdr:pic>
      <xdr:nvPicPr>
        <xdr:cNvPr id="63" name="7 Imagen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830" y="457200"/>
          <a:ext cx="1494971" cy="1052286"/>
        </a:xfrm>
        <a:prstGeom prst="rect">
          <a:avLst/>
        </a:prstGeom>
        <a:ln w="12700">
          <a:noFill/>
          <a:prstDash val="solid"/>
        </a:ln>
      </xdr:spPr>
    </xdr:pic>
    <xdr:clientData/>
  </xdr:twoCellAnchor>
  <xdr:twoCellAnchor editAs="oneCell">
    <xdr:from>
      <xdr:col>1</xdr:col>
      <xdr:colOff>36287</xdr:colOff>
      <xdr:row>932</xdr:row>
      <xdr:rowOff>94343</xdr:rowOff>
    </xdr:from>
    <xdr:to>
      <xdr:col>1</xdr:col>
      <xdr:colOff>1531258</xdr:colOff>
      <xdr:row>933</xdr:row>
      <xdr:rowOff>370115</xdr:rowOff>
    </xdr:to>
    <xdr:pic>
      <xdr:nvPicPr>
        <xdr:cNvPr id="64" name="7 Imagen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830" y="457200"/>
          <a:ext cx="1494971" cy="1052286"/>
        </a:xfrm>
        <a:prstGeom prst="rect">
          <a:avLst/>
        </a:prstGeom>
        <a:ln w="12700">
          <a:noFill/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47520</xdr:colOff>
      <xdr:row>1</xdr:row>
      <xdr:rowOff>38160</xdr:rowOff>
    </xdr:from>
    <xdr:to>
      <xdr:col>1</xdr:col>
      <xdr:colOff>1388520</xdr:colOff>
      <xdr:row>2</xdr:row>
      <xdr:rowOff>483840</xdr:rowOff>
    </xdr:to>
    <xdr:pic>
      <xdr:nvPicPr>
        <xdr:cNvPr id="349" name="7 Imagen">
          <a:extLst>
            <a:ext uri="{FF2B5EF4-FFF2-40B4-BE49-F238E27FC236}">
              <a16:creationId xmlns:a16="http://schemas.microsoft.com/office/drawing/2014/main" id="{00000000-0008-0000-0300-00005D01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2400" y="219240"/>
          <a:ext cx="1341000" cy="978840"/>
        </a:xfrm>
        <a:prstGeom prst="rect">
          <a:avLst/>
        </a:prstGeom>
        <a:ln w="12700">
          <a:noFill/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76320</xdr:colOff>
      <xdr:row>1</xdr:row>
      <xdr:rowOff>38160</xdr:rowOff>
    </xdr:from>
    <xdr:to>
      <xdr:col>4</xdr:col>
      <xdr:colOff>1388520</xdr:colOff>
      <xdr:row>3</xdr:row>
      <xdr:rowOff>130680</xdr:rowOff>
    </xdr:to>
    <xdr:pic>
      <xdr:nvPicPr>
        <xdr:cNvPr id="350" name="3 Imagen">
          <a:extLst>
            <a:ext uri="{FF2B5EF4-FFF2-40B4-BE49-F238E27FC236}">
              <a16:creationId xmlns:a16="http://schemas.microsoft.com/office/drawing/2014/main" id="{00000000-0008-0000-0400-00005E01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65520" y="228600"/>
          <a:ext cx="1312200" cy="473760"/>
        </a:xfrm>
        <a:prstGeom prst="rect">
          <a:avLst/>
        </a:prstGeom>
        <a:ln w="12700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AX232"/>
  <sheetViews>
    <sheetView tabSelected="1" zoomScaleNormal="100" workbookViewId="0">
      <pane ySplit="6" topLeftCell="A26" activePane="bottomLeft" state="frozen"/>
      <selection pane="bottomLeft" activeCell="A74" sqref="A74"/>
    </sheetView>
  </sheetViews>
  <sheetFormatPr baseColWidth="10" defaultColWidth="8.6640625" defaultRowHeight="14.4"/>
  <cols>
    <col min="1" max="1" width="8.5546875" bestFit="1" customWidth="1"/>
    <col min="2" max="2" width="11.44140625" customWidth="1"/>
    <col min="3" max="3" width="8.6640625" customWidth="1"/>
    <col min="4" max="4" width="10.5546875" bestFit="1" customWidth="1"/>
    <col min="5" max="5" width="8" customWidth="1"/>
    <col min="6" max="6" width="9.88671875" customWidth="1"/>
    <col min="7" max="7" width="14.88671875" customWidth="1"/>
    <col min="9" max="9" width="19" customWidth="1"/>
    <col min="10" max="10" width="12.21875" customWidth="1"/>
    <col min="11" max="11" width="7.21875" customWidth="1"/>
    <col min="12" max="12" width="23.6640625" customWidth="1"/>
    <col min="13" max="13" width="16.77734375" style="219" customWidth="1"/>
    <col min="14" max="14" width="30.88671875" style="219" customWidth="1"/>
    <col min="15" max="15" width="25.33203125" customWidth="1"/>
    <col min="16" max="16" width="35" customWidth="1"/>
    <col min="17" max="17" width="23.33203125" customWidth="1"/>
    <col min="18" max="18" width="15.77734375" customWidth="1"/>
    <col min="19" max="19" width="7" customWidth="1"/>
    <col min="20" max="20" width="9.21875" customWidth="1"/>
    <col min="21" max="21" width="25.21875" customWidth="1"/>
    <col min="22" max="22" width="12.44140625" customWidth="1"/>
    <col min="23" max="23" width="43.33203125" customWidth="1"/>
    <col min="24" max="24" width="46.33203125" customWidth="1"/>
    <col min="25" max="25" width="41.6640625" customWidth="1"/>
    <col min="26" max="26" width="18.88671875" style="219" customWidth="1"/>
    <col min="27" max="27" width="18.109375" customWidth="1"/>
    <col min="28" max="28" width="33.5546875" customWidth="1"/>
    <col min="29" max="29" width="14.21875" customWidth="1"/>
    <col min="30" max="30" width="15.109375" customWidth="1"/>
    <col min="31" max="31" width="15.33203125" customWidth="1"/>
    <col min="32" max="32" width="21.5546875" customWidth="1"/>
    <col min="33" max="33" width="15.33203125" customWidth="1"/>
    <col min="34" max="34" width="25.6640625" customWidth="1"/>
    <col min="35" max="35" width="20.6640625" customWidth="1"/>
    <col min="36" max="36" width="15.33203125" customWidth="1"/>
    <col min="37" max="37" width="10.44140625" customWidth="1"/>
    <col min="38" max="38" width="29.6640625" customWidth="1"/>
    <col min="39" max="39" width="10.5546875" customWidth="1"/>
    <col min="40" max="40" width="11" customWidth="1"/>
    <col min="41" max="41" width="32.44140625" customWidth="1"/>
    <col min="42" max="42" width="21.5546875" customWidth="1"/>
    <col min="43" max="43" width="10.5546875" bestFit="1" customWidth="1"/>
    <col min="44" max="44" width="16.44140625" customWidth="1"/>
    <col min="45" max="45" width="37.6640625" customWidth="1"/>
    <col min="46" max="46" width="56.88671875" customWidth="1"/>
    <col min="47" max="47" width="11.44140625" customWidth="1"/>
  </cols>
  <sheetData>
    <row r="1" spans="1:46" ht="15" customHeight="1">
      <c r="A1" s="252" t="s">
        <v>138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3"/>
      <c r="AH1" s="253"/>
      <c r="AI1" s="253"/>
      <c r="AJ1" s="253"/>
      <c r="AK1" s="253"/>
      <c r="AL1" s="253"/>
      <c r="AM1" s="253"/>
      <c r="AN1" s="253"/>
      <c r="AO1" s="253"/>
      <c r="AP1" s="254"/>
      <c r="AQ1" s="62"/>
      <c r="AR1" s="63"/>
      <c r="AS1" s="64"/>
    </row>
    <row r="2" spans="1:46" ht="15" customHeight="1">
      <c r="A2" s="252" t="s">
        <v>139</v>
      </c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53"/>
      <c r="S2" s="253"/>
      <c r="T2" s="253"/>
      <c r="U2" s="253"/>
      <c r="V2" s="253"/>
      <c r="W2" s="253"/>
      <c r="X2" s="253"/>
      <c r="Y2" s="253"/>
      <c r="Z2" s="253"/>
      <c r="AA2" s="253"/>
      <c r="AB2" s="253"/>
      <c r="AC2" s="253"/>
      <c r="AD2" s="253"/>
      <c r="AE2" s="253"/>
      <c r="AF2" s="253"/>
      <c r="AG2" s="253"/>
      <c r="AH2" s="253"/>
      <c r="AI2" s="253"/>
      <c r="AJ2" s="253"/>
      <c r="AK2" s="253"/>
      <c r="AL2" s="253"/>
      <c r="AM2" s="253"/>
      <c r="AN2" s="253"/>
      <c r="AO2" s="253"/>
      <c r="AP2" s="254"/>
      <c r="AQ2" s="62" t="s">
        <v>140</v>
      </c>
      <c r="AR2" s="63"/>
      <c r="AS2" s="64"/>
    </row>
    <row r="3" spans="1:46" ht="15" customHeight="1">
      <c r="A3" s="252" t="s">
        <v>141</v>
      </c>
      <c r="B3" s="253"/>
      <c r="C3" s="253"/>
      <c r="D3" s="253"/>
      <c r="E3" s="253"/>
      <c r="F3" s="253"/>
      <c r="G3" s="253"/>
      <c r="H3" s="253"/>
      <c r="I3" s="253"/>
      <c r="J3" s="253"/>
      <c r="K3" s="253"/>
      <c r="L3" s="253"/>
      <c r="M3" s="253"/>
      <c r="N3" s="253"/>
      <c r="O3" s="253"/>
      <c r="P3" s="253"/>
      <c r="Q3" s="253"/>
      <c r="R3" s="253"/>
      <c r="S3" s="253"/>
      <c r="T3" s="253"/>
      <c r="U3" s="253"/>
      <c r="V3" s="253"/>
      <c r="W3" s="253"/>
      <c r="X3" s="253"/>
      <c r="Y3" s="253"/>
      <c r="Z3" s="253"/>
      <c r="AA3" s="253"/>
      <c r="AB3" s="253"/>
      <c r="AC3" s="253"/>
      <c r="AD3" s="253"/>
      <c r="AE3" s="253"/>
      <c r="AF3" s="253"/>
      <c r="AG3" s="253"/>
      <c r="AH3" s="253"/>
      <c r="AI3" s="253"/>
      <c r="AJ3" s="253"/>
      <c r="AK3" s="253"/>
      <c r="AL3" s="253"/>
      <c r="AM3" s="253"/>
      <c r="AN3" s="253"/>
      <c r="AO3" s="253"/>
      <c r="AP3" s="254"/>
      <c r="AQ3" s="62"/>
      <c r="AR3" s="63"/>
      <c r="AS3" s="64"/>
    </row>
    <row r="4" spans="1:46" ht="13.5" customHeight="1">
      <c r="A4" s="5"/>
      <c r="B4" s="5"/>
      <c r="C4" s="5"/>
      <c r="D4" s="2"/>
      <c r="E4" s="5"/>
      <c r="F4" s="5"/>
      <c r="G4" s="5"/>
      <c r="H4" s="5"/>
      <c r="I4" s="65"/>
      <c r="J4" s="5"/>
      <c r="K4" s="5"/>
      <c r="L4" s="5"/>
      <c r="M4" s="165"/>
      <c r="N4" s="16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165"/>
      <c r="AA4" s="5"/>
      <c r="AB4" s="5"/>
      <c r="AC4" s="5"/>
      <c r="AD4" s="66"/>
      <c r="AE4" s="67"/>
      <c r="AF4" s="66"/>
      <c r="AG4" s="68"/>
      <c r="AH4" s="69"/>
      <c r="AI4" s="70"/>
      <c r="AJ4" s="65"/>
      <c r="AK4" s="5"/>
      <c r="AL4" s="5"/>
      <c r="AM4" s="5"/>
      <c r="AN4" s="71"/>
      <c r="AO4" s="65"/>
      <c r="AP4" s="65"/>
      <c r="AQ4" s="62"/>
      <c r="AR4" s="63"/>
      <c r="AS4" s="64"/>
    </row>
    <row r="5" spans="1:46" ht="15" customHeight="1">
      <c r="A5" s="72"/>
      <c r="B5" s="255" t="s">
        <v>142</v>
      </c>
      <c r="C5" s="253"/>
      <c r="D5" s="253"/>
      <c r="E5" s="253"/>
      <c r="F5" s="253"/>
      <c r="G5" s="253"/>
      <c r="H5" s="253"/>
      <c r="I5" s="253"/>
      <c r="J5" s="253"/>
      <c r="K5" s="253"/>
      <c r="L5" s="253"/>
      <c r="M5" s="253"/>
      <c r="N5" s="253"/>
      <c r="O5" s="253"/>
      <c r="P5" s="253"/>
      <c r="Q5" s="253"/>
      <c r="R5" s="253"/>
      <c r="S5" s="253"/>
      <c r="T5" s="253"/>
      <c r="U5" s="254"/>
      <c r="V5" s="258" t="s">
        <v>143</v>
      </c>
      <c r="W5" s="253"/>
      <c r="X5" s="253"/>
      <c r="Y5" s="253"/>
      <c r="Z5" s="253"/>
      <c r="AA5" s="253"/>
      <c r="AB5" s="253"/>
      <c r="AC5" s="253"/>
      <c r="AD5" s="253"/>
      <c r="AE5" s="253"/>
      <c r="AF5" s="253"/>
      <c r="AG5" s="253"/>
      <c r="AH5" s="253"/>
      <c r="AI5" s="253"/>
      <c r="AJ5" s="253"/>
      <c r="AK5" s="253"/>
      <c r="AL5" s="254"/>
      <c r="AM5" s="257" t="s">
        <v>144</v>
      </c>
      <c r="AN5" s="254"/>
      <c r="AO5" s="256" t="s">
        <v>145</v>
      </c>
      <c r="AP5" s="254"/>
      <c r="AQ5" s="62"/>
      <c r="AR5" s="63"/>
      <c r="AS5" s="64"/>
    </row>
    <row r="6" spans="1:46" ht="93.75" customHeight="1">
      <c r="A6" s="72" t="s">
        <v>146</v>
      </c>
      <c r="B6" s="72" t="s">
        <v>147</v>
      </c>
      <c r="C6" s="72" t="s">
        <v>148</v>
      </c>
      <c r="D6" s="73" t="s">
        <v>149</v>
      </c>
      <c r="E6" s="72" t="s">
        <v>150</v>
      </c>
      <c r="F6" s="72" t="s">
        <v>151</v>
      </c>
      <c r="G6" s="72" t="s">
        <v>152</v>
      </c>
      <c r="H6" s="72" t="s">
        <v>153</v>
      </c>
      <c r="I6" s="72" t="s">
        <v>154</v>
      </c>
      <c r="J6" s="72" t="s">
        <v>155</v>
      </c>
      <c r="K6" s="74" t="s">
        <v>156</v>
      </c>
      <c r="L6" s="72" t="s">
        <v>157</v>
      </c>
      <c r="M6" s="153" t="s">
        <v>158</v>
      </c>
      <c r="N6" s="153" t="s">
        <v>159</v>
      </c>
      <c r="O6" s="72" t="s">
        <v>160</v>
      </c>
      <c r="P6" s="72" t="s">
        <v>161</v>
      </c>
      <c r="Q6" s="72" t="s">
        <v>162</v>
      </c>
      <c r="R6" s="72" t="s">
        <v>163</v>
      </c>
      <c r="S6" s="72" t="s">
        <v>164</v>
      </c>
      <c r="T6" s="72" t="s">
        <v>165</v>
      </c>
      <c r="U6" s="72" t="s">
        <v>166</v>
      </c>
      <c r="V6" s="75" t="s">
        <v>167</v>
      </c>
      <c r="W6" s="75" t="s">
        <v>168</v>
      </c>
      <c r="X6" s="75" t="s">
        <v>169</v>
      </c>
      <c r="Y6" s="75" t="s">
        <v>170</v>
      </c>
      <c r="Z6" s="154" t="s">
        <v>171</v>
      </c>
      <c r="AA6" s="75" t="s">
        <v>172</v>
      </c>
      <c r="AB6" s="75" t="s">
        <v>173</v>
      </c>
      <c r="AC6" s="75" t="s">
        <v>174</v>
      </c>
      <c r="AD6" s="76" t="s">
        <v>175</v>
      </c>
      <c r="AE6" s="77" t="s">
        <v>176</v>
      </c>
      <c r="AF6" s="76" t="s">
        <v>177</v>
      </c>
      <c r="AG6" s="78" t="s">
        <v>178</v>
      </c>
      <c r="AH6" s="76" t="s">
        <v>179</v>
      </c>
      <c r="AI6" s="77" t="s">
        <v>180</v>
      </c>
      <c r="AJ6" s="75" t="s">
        <v>181</v>
      </c>
      <c r="AK6" s="75" t="s">
        <v>182</v>
      </c>
      <c r="AL6" s="75" t="s">
        <v>183</v>
      </c>
      <c r="AM6" s="79" t="s">
        <v>184</v>
      </c>
      <c r="AN6" s="80" t="s">
        <v>185</v>
      </c>
      <c r="AO6" s="81" t="s">
        <v>186</v>
      </c>
      <c r="AP6" s="81" t="s">
        <v>187</v>
      </c>
      <c r="AQ6" s="82" t="s">
        <v>188</v>
      </c>
      <c r="AR6" s="83" t="s">
        <v>189</v>
      </c>
      <c r="AS6" s="84" t="s">
        <v>190</v>
      </c>
    </row>
    <row r="7" spans="1:46" ht="14.25" customHeight="1">
      <c r="A7" s="85">
        <v>1</v>
      </c>
      <c r="B7" s="85" t="s">
        <v>191</v>
      </c>
      <c r="C7" s="85" t="s">
        <v>192</v>
      </c>
      <c r="D7" s="86">
        <v>45904</v>
      </c>
      <c r="E7" s="85">
        <v>2018</v>
      </c>
      <c r="F7" s="85" t="s">
        <v>193</v>
      </c>
      <c r="G7" s="85" t="s">
        <v>194</v>
      </c>
      <c r="H7" s="85"/>
      <c r="I7" s="87" t="s">
        <v>195</v>
      </c>
      <c r="J7" s="85" t="s">
        <v>196</v>
      </c>
      <c r="K7" s="85">
        <v>1995</v>
      </c>
      <c r="L7" s="88" t="s">
        <v>197</v>
      </c>
      <c r="M7" s="221" t="s">
        <v>198</v>
      </c>
      <c r="N7" s="215" t="s">
        <v>199</v>
      </c>
      <c r="O7" s="85" t="s">
        <v>200</v>
      </c>
      <c r="P7" s="85" t="s">
        <v>201</v>
      </c>
      <c r="Q7" s="85" t="s">
        <v>202</v>
      </c>
      <c r="R7" s="85" t="s">
        <v>203</v>
      </c>
      <c r="S7" s="85" t="s">
        <v>9</v>
      </c>
      <c r="T7" s="85" t="s">
        <v>9</v>
      </c>
      <c r="U7" s="85" t="s">
        <v>204</v>
      </c>
      <c r="V7" s="86"/>
      <c r="W7" s="85"/>
      <c r="X7" s="85"/>
      <c r="Y7" s="85"/>
      <c r="Z7" s="215"/>
      <c r="AA7" s="85"/>
      <c r="AB7" s="90"/>
      <c r="AC7" s="85">
        <f t="shared" ref="AC7:AC38" si="0">(V7-D7)+1</f>
        <v>-45903</v>
      </c>
      <c r="AD7" s="89">
        <f>IF(AB7="SERVICIO DE GARAJE LIVIANOS (HASTA 3,5 TN A EXCEPCIÓN DE MOTOCICLETAS) (DIARIOS)",3,IF(AB7="SERVICIO DE GARAJE PESADOS (DE 3,51 TN HASTA 12 TN) (DIARIOS)",9,IF(AB7="SERVICIO DE GARAJE (CENTROS DE RETENCIÓN) MOTOCICLETA",1,IF(AB7="SERVICIO DE GARAJE EXTRA PESADOS (MÁS DE 12 TN) (DIARIOS)",15,0))))</f>
        <v>0</v>
      </c>
      <c r="AE7" s="91">
        <f t="shared" ref="AE7:AE38" si="1">IFERROR(AD7*AC7,0)</f>
        <v>0</v>
      </c>
      <c r="AF7" s="89">
        <f t="shared" ref="AF7:AF47" si="2">AA7</f>
        <v>0</v>
      </c>
      <c r="AG7" s="92"/>
      <c r="AH7" s="93"/>
      <c r="AI7" s="94"/>
      <c r="AJ7" s="90" t="str">
        <f t="shared" ref="AJ7:AJ38" si="3">IF(AI7="","",AI7)</f>
        <v/>
      </c>
      <c r="AK7" s="85">
        <f t="shared" ref="AK7:AK38" si="4">IF(E7="","",E7)</f>
        <v>2018</v>
      </c>
      <c r="AL7" s="85"/>
      <c r="AM7" s="85" t="s">
        <v>9</v>
      </c>
      <c r="AN7" s="95" t="s">
        <v>9</v>
      </c>
      <c r="AO7" s="96"/>
      <c r="AP7" s="96"/>
      <c r="AQ7" s="86">
        <f t="shared" ref="AQ7:AQ39" si="5">AG7</f>
        <v>0</v>
      </c>
      <c r="AR7" s="93">
        <f t="shared" ref="AR7:AR39" si="6">AH7</f>
        <v>0</v>
      </c>
      <c r="AS7" s="90" t="str">
        <f t="shared" ref="AS7:AS38" si="7">AJ7</f>
        <v/>
      </c>
    </row>
    <row r="8" spans="1:46" ht="14.25" customHeight="1">
      <c r="A8" s="62">
        <v>31</v>
      </c>
      <c r="B8" s="62" t="s">
        <v>191</v>
      </c>
      <c r="C8" s="62" t="s">
        <v>192</v>
      </c>
      <c r="D8" s="97">
        <v>45998</v>
      </c>
      <c r="E8" s="62">
        <v>2031</v>
      </c>
      <c r="F8" s="62" t="s">
        <v>205</v>
      </c>
      <c r="G8" s="62" t="s">
        <v>206</v>
      </c>
      <c r="H8" s="62" t="s">
        <v>207</v>
      </c>
      <c r="I8" s="64" t="s">
        <v>208</v>
      </c>
      <c r="J8" s="62" t="s">
        <v>209</v>
      </c>
      <c r="K8" s="62">
        <v>2022</v>
      </c>
      <c r="L8" s="62" t="s">
        <v>210</v>
      </c>
      <c r="M8" s="114">
        <v>5513</v>
      </c>
      <c r="N8" s="114" t="s">
        <v>211</v>
      </c>
      <c r="O8" s="62" t="s">
        <v>212</v>
      </c>
      <c r="P8" s="62" t="s">
        <v>213</v>
      </c>
      <c r="Q8" s="62" t="s">
        <v>202</v>
      </c>
      <c r="R8" s="62" t="s">
        <v>203</v>
      </c>
      <c r="S8" s="62"/>
      <c r="T8" s="62"/>
      <c r="U8" s="62" t="s">
        <v>204</v>
      </c>
      <c r="V8" s="97">
        <v>46030</v>
      </c>
      <c r="W8" s="62" t="s">
        <v>214</v>
      </c>
      <c r="X8" s="62" t="s">
        <v>215</v>
      </c>
      <c r="Y8" s="62" t="str">
        <f>P8</f>
        <v>ONTANEDA YEPEZ JORGE ANIBAL</v>
      </c>
      <c r="Z8" s="114">
        <v>1711325496</v>
      </c>
      <c r="AA8" s="62">
        <v>95747679</v>
      </c>
      <c r="AB8" s="64" t="s">
        <v>216</v>
      </c>
      <c r="AC8" s="62">
        <f t="shared" si="0"/>
        <v>33</v>
      </c>
      <c r="AD8" s="98">
        <f>IF(AB8="SERVICIO DE GARAJE LIVIANOS (HASTA 3,5 TN A EXCEPCIÓN DE MOTOCICLETAS) (DIARIOS)",3,IF(AB8="SERVICIO DE GARAJE PESADOS (DE 3,51 TN HASTA 12 TN) (DIARIOS)",9,IF(AB8="SERVICIO DE GARAJE (CENTROS DE RETENCIÓN) MOTOCICLETA",1,IF(AB8="SERVICIO DE GARAJE EXTRA PESADOS (MÁS DE 12 TN) (DIARIOS)",15,0))))</f>
        <v>9</v>
      </c>
      <c r="AE8" s="99">
        <f t="shared" si="1"/>
        <v>297</v>
      </c>
      <c r="AF8" s="98">
        <f t="shared" si="2"/>
        <v>95747679</v>
      </c>
      <c r="AG8" s="100">
        <v>46030</v>
      </c>
      <c r="AH8" s="63">
        <v>95747679</v>
      </c>
      <c r="AI8" s="101" t="s">
        <v>217</v>
      </c>
      <c r="AJ8" s="64" t="str">
        <f t="shared" si="3"/>
        <v>MI NEGOCIO EFECTIVO-MI VECINO BANCO PICHINCHA-MI NEGOCIO EFECTIVO</v>
      </c>
      <c r="AK8" s="62">
        <f t="shared" si="4"/>
        <v>2031</v>
      </c>
      <c r="AL8" s="62" t="s">
        <v>204</v>
      </c>
      <c r="AM8" s="62"/>
      <c r="AN8" s="62"/>
      <c r="AO8" s="102" t="s">
        <v>218</v>
      </c>
      <c r="AP8" s="102" t="s">
        <v>219</v>
      </c>
      <c r="AQ8" s="97">
        <f t="shared" si="5"/>
        <v>46030</v>
      </c>
      <c r="AR8" s="63">
        <f t="shared" si="6"/>
        <v>95747679</v>
      </c>
      <c r="AS8" s="64" t="str">
        <f t="shared" si="7"/>
        <v>MI NEGOCIO EFECTIVO-MI VECINO BANCO PICHINCHA-MI NEGOCIO EFECTIVO</v>
      </c>
      <c r="AT8" s="103"/>
    </row>
    <row r="9" spans="1:46" ht="39.75" customHeight="1">
      <c r="A9" s="62">
        <v>18</v>
      </c>
      <c r="B9" s="62" t="s">
        <v>191</v>
      </c>
      <c r="C9" s="62" t="s">
        <v>192</v>
      </c>
      <c r="D9" s="97">
        <v>46034</v>
      </c>
      <c r="E9" s="62">
        <v>2034</v>
      </c>
      <c r="F9" s="62" t="s">
        <v>220</v>
      </c>
      <c r="G9" s="62" t="s">
        <v>221</v>
      </c>
      <c r="H9" s="62" t="s">
        <v>222</v>
      </c>
      <c r="I9" s="104" t="s">
        <v>223</v>
      </c>
      <c r="J9" s="62" t="s">
        <v>224</v>
      </c>
      <c r="K9" s="62">
        <v>2013</v>
      </c>
      <c r="L9" s="62" t="s">
        <v>225</v>
      </c>
      <c r="M9" s="114" t="s">
        <v>226</v>
      </c>
      <c r="N9" s="114" t="s">
        <v>227</v>
      </c>
      <c r="O9" s="62" t="s">
        <v>228</v>
      </c>
      <c r="P9" s="62" t="s">
        <v>229</v>
      </c>
      <c r="Q9" s="62" t="s">
        <v>202</v>
      </c>
      <c r="R9" s="62" t="s">
        <v>203</v>
      </c>
      <c r="S9" s="62" t="s">
        <v>9</v>
      </c>
      <c r="T9" s="62" t="s">
        <v>9</v>
      </c>
      <c r="U9" s="62" t="s">
        <v>230</v>
      </c>
      <c r="V9" s="97">
        <v>46042</v>
      </c>
      <c r="W9" s="62" t="s">
        <v>231</v>
      </c>
      <c r="X9" s="62" t="s">
        <v>232</v>
      </c>
      <c r="Y9" s="62" t="s">
        <v>229</v>
      </c>
      <c r="Z9" s="114">
        <v>802191395</v>
      </c>
      <c r="AA9" s="62">
        <v>95961118</v>
      </c>
      <c r="AB9" s="62" t="s">
        <v>216</v>
      </c>
      <c r="AC9" s="62">
        <f t="shared" si="0"/>
        <v>9</v>
      </c>
      <c r="AD9" s="98">
        <v>9</v>
      </c>
      <c r="AE9" s="99">
        <f t="shared" si="1"/>
        <v>81</v>
      </c>
      <c r="AF9" s="98">
        <f t="shared" si="2"/>
        <v>95961118</v>
      </c>
      <c r="AG9" s="100">
        <v>46042</v>
      </c>
      <c r="AH9" s="63">
        <v>202601204779420</v>
      </c>
      <c r="AI9" s="64" t="s">
        <v>233</v>
      </c>
      <c r="AJ9" s="64" t="str">
        <f t="shared" si="3"/>
        <v>BANCO DEL PACIFICO</v>
      </c>
      <c r="AK9" s="62">
        <f t="shared" si="4"/>
        <v>2034</v>
      </c>
      <c r="AL9" s="62" t="s">
        <v>230</v>
      </c>
      <c r="AM9" s="62" t="s">
        <v>9</v>
      </c>
      <c r="AN9" s="62" t="s">
        <v>9</v>
      </c>
      <c r="AO9" s="102" t="s">
        <v>218</v>
      </c>
      <c r="AP9" s="64" t="s">
        <v>234</v>
      </c>
      <c r="AQ9" s="97">
        <f t="shared" si="5"/>
        <v>46042</v>
      </c>
      <c r="AR9" s="63">
        <f t="shared" si="6"/>
        <v>202601204779420</v>
      </c>
      <c r="AS9" s="64" t="str">
        <f t="shared" si="7"/>
        <v>BANCO DEL PACIFICO</v>
      </c>
    </row>
    <row r="10" spans="1:46" ht="14.25" customHeight="1">
      <c r="A10" s="62">
        <v>19</v>
      </c>
      <c r="B10" s="62" t="s">
        <v>191</v>
      </c>
      <c r="C10" s="62" t="s">
        <v>192</v>
      </c>
      <c r="D10" s="97">
        <v>46038</v>
      </c>
      <c r="E10" s="62">
        <v>2035</v>
      </c>
      <c r="F10" s="62" t="s">
        <v>235</v>
      </c>
      <c r="G10" s="62" t="s">
        <v>236</v>
      </c>
      <c r="H10" s="62" t="s">
        <v>237</v>
      </c>
      <c r="I10" s="64" t="s">
        <v>238</v>
      </c>
      <c r="J10" s="62" t="s">
        <v>239</v>
      </c>
      <c r="K10" s="62">
        <v>2014</v>
      </c>
      <c r="L10" s="62" t="s">
        <v>240</v>
      </c>
      <c r="M10" s="114" t="s">
        <v>241</v>
      </c>
      <c r="N10" s="114" t="s">
        <v>242</v>
      </c>
      <c r="O10" s="62" t="s">
        <v>243</v>
      </c>
      <c r="P10" s="62" t="s">
        <v>244</v>
      </c>
      <c r="Q10" s="62" t="s">
        <v>202</v>
      </c>
      <c r="R10" s="62" t="s">
        <v>203</v>
      </c>
      <c r="S10" s="62" t="s">
        <v>9</v>
      </c>
      <c r="T10" s="62" t="s">
        <v>9</v>
      </c>
      <c r="U10" s="62" t="s">
        <v>204</v>
      </c>
      <c r="V10" s="97">
        <v>46042</v>
      </c>
      <c r="W10" s="62" t="s">
        <v>245</v>
      </c>
      <c r="X10" s="62" t="s">
        <v>232</v>
      </c>
      <c r="Y10" s="62" t="s">
        <v>244</v>
      </c>
      <c r="Z10" s="114" t="s">
        <v>246</v>
      </c>
      <c r="AA10" s="62">
        <v>95987084</v>
      </c>
      <c r="AB10" s="62" t="s">
        <v>247</v>
      </c>
      <c r="AC10" s="62">
        <f t="shared" si="0"/>
        <v>5</v>
      </c>
      <c r="AD10" s="98">
        <v>15</v>
      </c>
      <c r="AE10" s="99">
        <f t="shared" si="1"/>
        <v>75</v>
      </c>
      <c r="AF10" s="98">
        <f t="shared" si="2"/>
        <v>95987084</v>
      </c>
      <c r="AG10" s="100">
        <v>46042</v>
      </c>
      <c r="AH10" s="63">
        <v>17162463</v>
      </c>
      <c r="AI10" s="101" t="s">
        <v>248</v>
      </c>
      <c r="AJ10" s="64" t="str">
        <f t="shared" si="3"/>
        <v>MI NEGOCIO EFECTIVO</v>
      </c>
      <c r="AK10" s="62">
        <f t="shared" si="4"/>
        <v>2035</v>
      </c>
      <c r="AL10" s="62" t="s">
        <v>230</v>
      </c>
      <c r="AM10" s="62" t="s">
        <v>9</v>
      </c>
      <c r="AN10" s="62" t="s">
        <v>9</v>
      </c>
      <c r="AO10" s="102" t="s">
        <v>218</v>
      </c>
      <c r="AP10" s="64" t="s">
        <v>249</v>
      </c>
      <c r="AQ10" s="97">
        <f t="shared" si="5"/>
        <v>46042</v>
      </c>
      <c r="AR10" s="63">
        <f t="shared" si="6"/>
        <v>17162463</v>
      </c>
      <c r="AS10" s="64" t="str">
        <f t="shared" si="7"/>
        <v>MI NEGOCIO EFECTIVO</v>
      </c>
      <c r="AT10" s="103"/>
    </row>
    <row r="11" spans="1:46" ht="14.25" customHeight="1">
      <c r="A11" s="62">
        <v>30</v>
      </c>
      <c r="B11" s="62" t="s">
        <v>191</v>
      </c>
      <c r="C11" s="62" t="s">
        <v>192</v>
      </c>
      <c r="D11" s="97">
        <v>46046</v>
      </c>
      <c r="E11" s="62">
        <v>2036</v>
      </c>
      <c r="F11" s="62" t="s">
        <v>250</v>
      </c>
      <c r="G11" s="62" t="s">
        <v>236</v>
      </c>
      <c r="H11" s="62" t="s">
        <v>222</v>
      </c>
      <c r="I11" s="64" t="s">
        <v>251</v>
      </c>
      <c r="J11" s="62" t="s">
        <v>196</v>
      </c>
      <c r="K11" s="62">
        <v>2025</v>
      </c>
      <c r="L11" s="62" t="s">
        <v>252</v>
      </c>
      <c r="M11" s="114" t="s">
        <v>253</v>
      </c>
      <c r="N11" s="114" t="s">
        <v>254</v>
      </c>
      <c r="O11" s="62" t="s">
        <v>255</v>
      </c>
      <c r="P11" s="62" t="s">
        <v>256</v>
      </c>
      <c r="Q11" s="62" t="s">
        <v>202</v>
      </c>
      <c r="R11" s="62" t="s">
        <v>203</v>
      </c>
      <c r="S11" s="62"/>
      <c r="T11" s="62"/>
      <c r="U11" s="62" t="s">
        <v>230</v>
      </c>
      <c r="V11" s="97">
        <v>46058</v>
      </c>
      <c r="W11" s="62" t="s">
        <v>257</v>
      </c>
      <c r="X11" s="62" t="s">
        <v>215</v>
      </c>
      <c r="Y11" s="62" t="str">
        <f>P11</f>
        <v>CAIZALUIZA JURADO CARLOS</v>
      </c>
      <c r="Z11" s="114">
        <v>1701212001</v>
      </c>
      <c r="AA11" s="62">
        <v>96297335</v>
      </c>
      <c r="AB11" s="64" t="s">
        <v>258</v>
      </c>
      <c r="AC11" s="62">
        <f t="shared" si="0"/>
        <v>13</v>
      </c>
      <c r="AD11" s="98">
        <f>IF(AB11="SERVICIO DE GARAJE LIVIANOS (HASTA 3,5 TN A EXCEPCIÓN DE MOTOCICLETAS) (DIARIOS)",3,IF(AB11="SERVICIO DE GARAJE PESADOS (DE 3,51 TN HASTA 12 TN) (DIARIOS)",9,IF(AB11="SERVICIO DE GARAJE (CENTROS DE RETENCIÓN) MOTOCICLETA",1,IF(AB11="SERVICIO DE GARAJE EXTRA PESADOS (MÁS DE 12 TN) (DIARIOS)",15,0))))</f>
        <v>15</v>
      </c>
      <c r="AE11" s="99">
        <f t="shared" si="1"/>
        <v>195</v>
      </c>
      <c r="AF11" s="98">
        <f t="shared" si="2"/>
        <v>96297335</v>
      </c>
      <c r="AG11" s="100">
        <v>46058</v>
      </c>
      <c r="AH11" s="63">
        <v>96297335</v>
      </c>
      <c r="AI11" s="101" t="s">
        <v>217</v>
      </c>
      <c r="AJ11" s="64" t="str">
        <f t="shared" si="3"/>
        <v>MI NEGOCIO EFECTIVO-MI VECINO BANCO PICHINCHA-MI NEGOCIO EFECTIVO</v>
      </c>
      <c r="AK11" s="62">
        <f t="shared" si="4"/>
        <v>2036</v>
      </c>
      <c r="AL11" s="62" t="s">
        <v>230</v>
      </c>
      <c r="AM11" s="62"/>
      <c r="AN11" s="62"/>
      <c r="AO11" s="102" t="s">
        <v>218</v>
      </c>
      <c r="AP11" s="102" t="s">
        <v>219</v>
      </c>
      <c r="AQ11" s="97">
        <f t="shared" si="5"/>
        <v>46058</v>
      </c>
      <c r="AR11" s="63">
        <f t="shared" si="6"/>
        <v>96297335</v>
      </c>
      <c r="AS11" s="64" t="str">
        <f t="shared" si="7"/>
        <v>MI NEGOCIO EFECTIVO-MI VECINO BANCO PICHINCHA-MI NEGOCIO EFECTIVO</v>
      </c>
      <c r="AT11" s="103"/>
    </row>
    <row r="12" spans="1:46" ht="14.25" customHeight="1">
      <c r="A12" s="62">
        <v>23</v>
      </c>
      <c r="B12" s="62" t="s">
        <v>191</v>
      </c>
      <c r="C12" s="62" t="s">
        <v>192</v>
      </c>
      <c r="D12" s="97">
        <v>46049</v>
      </c>
      <c r="E12" s="62">
        <v>2037</v>
      </c>
      <c r="F12" s="62" t="s">
        <v>259</v>
      </c>
      <c r="G12" s="62" t="s">
        <v>260</v>
      </c>
      <c r="H12" s="62" t="s">
        <v>261</v>
      </c>
      <c r="I12" s="105" t="s">
        <v>262</v>
      </c>
      <c r="J12" s="106" t="s">
        <v>209</v>
      </c>
      <c r="K12" s="62">
        <v>2026</v>
      </c>
      <c r="L12" s="62" t="s">
        <v>263</v>
      </c>
      <c r="M12" s="222">
        <v>250307806327</v>
      </c>
      <c r="N12" s="114" t="s">
        <v>264</v>
      </c>
      <c r="O12" s="62" t="s">
        <v>255</v>
      </c>
      <c r="P12" s="62" t="s">
        <v>265</v>
      </c>
      <c r="Q12" s="62" t="s">
        <v>202</v>
      </c>
      <c r="R12" s="62" t="s">
        <v>203</v>
      </c>
      <c r="S12" s="62"/>
      <c r="T12" s="62"/>
      <c r="U12" s="62" t="s">
        <v>204</v>
      </c>
      <c r="V12" s="97">
        <v>46066</v>
      </c>
      <c r="W12" s="62" t="s">
        <v>266</v>
      </c>
      <c r="X12" s="62" t="s">
        <v>267</v>
      </c>
      <c r="Y12" s="62" t="s">
        <v>268</v>
      </c>
      <c r="Z12" s="114" t="s">
        <v>269</v>
      </c>
      <c r="AA12" s="62">
        <v>96327232</v>
      </c>
      <c r="AB12" s="62" t="s">
        <v>216</v>
      </c>
      <c r="AC12" s="62">
        <f t="shared" si="0"/>
        <v>18</v>
      </c>
      <c r="AD12" s="98">
        <v>9</v>
      </c>
      <c r="AE12" s="99">
        <f t="shared" si="1"/>
        <v>162</v>
      </c>
      <c r="AF12" s="98">
        <f t="shared" si="2"/>
        <v>96327232</v>
      </c>
      <c r="AG12" s="100">
        <v>46066</v>
      </c>
      <c r="AH12" s="107" t="s">
        <v>270</v>
      </c>
      <c r="AI12" s="64" t="s">
        <v>233</v>
      </c>
      <c r="AJ12" s="64" t="str">
        <f t="shared" si="3"/>
        <v>BANCO DEL PACIFICO</v>
      </c>
      <c r="AK12" s="62">
        <f t="shared" si="4"/>
        <v>2037</v>
      </c>
      <c r="AL12" s="62" t="s">
        <v>271</v>
      </c>
      <c r="AM12" s="62"/>
      <c r="AN12" s="108"/>
      <c r="AO12" s="102" t="s">
        <v>218</v>
      </c>
      <c r="AP12" s="102" t="s">
        <v>272</v>
      </c>
      <c r="AQ12" s="97">
        <f t="shared" si="5"/>
        <v>46066</v>
      </c>
      <c r="AR12" s="63" t="str">
        <f t="shared" si="6"/>
        <v>2026021383227820</v>
      </c>
      <c r="AS12" s="64" t="str">
        <f t="shared" si="7"/>
        <v>BANCO DEL PACIFICO</v>
      </c>
    </row>
    <row r="13" spans="1:46" ht="14.25" customHeight="1">
      <c r="A13" s="62">
        <v>24</v>
      </c>
      <c r="B13" s="62" t="s">
        <v>191</v>
      </c>
      <c r="C13" s="62" t="s">
        <v>192</v>
      </c>
      <c r="D13" s="97">
        <v>46049</v>
      </c>
      <c r="E13" s="62">
        <v>2038</v>
      </c>
      <c r="F13" s="62" t="s">
        <v>273</v>
      </c>
      <c r="G13" s="62" t="s">
        <v>236</v>
      </c>
      <c r="H13" s="62" t="s">
        <v>274</v>
      </c>
      <c r="I13" s="105" t="s">
        <v>275</v>
      </c>
      <c r="J13" s="62" t="s">
        <v>209</v>
      </c>
      <c r="K13" s="62">
        <v>2009</v>
      </c>
      <c r="L13" s="62" t="s">
        <v>276</v>
      </c>
      <c r="M13" s="222" t="s">
        <v>277</v>
      </c>
      <c r="N13" s="114" t="s">
        <v>264</v>
      </c>
      <c r="O13" s="62" t="s">
        <v>255</v>
      </c>
      <c r="P13" s="62" t="s">
        <v>278</v>
      </c>
      <c r="Q13" s="62" t="s">
        <v>202</v>
      </c>
      <c r="R13" s="62" t="s">
        <v>203</v>
      </c>
      <c r="S13" s="62"/>
      <c r="T13" s="62"/>
      <c r="U13" s="62" t="s">
        <v>204</v>
      </c>
      <c r="V13" s="97">
        <v>46077</v>
      </c>
      <c r="W13" s="62" t="s">
        <v>279</v>
      </c>
      <c r="X13" s="62" t="s">
        <v>215</v>
      </c>
      <c r="Y13" s="62" t="str">
        <f>P13</f>
        <v>COLCHA GUNSHA ERIK ALEXANDER</v>
      </c>
      <c r="Z13" s="114" t="s">
        <v>280</v>
      </c>
      <c r="AA13" s="62">
        <v>96374559</v>
      </c>
      <c r="AB13" s="62" t="s">
        <v>247</v>
      </c>
      <c r="AC13" s="62">
        <f t="shared" si="0"/>
        <v>29</v>
      </c>
      <c r="AD13" s="98">
        <v>15</v>
      </c>
      <c r="AE13" s="99">
        <f t="shared" si="1"/>
        <v>435</v>
      </c>
      <c r="AF13" s="98">
        <f t="shared" si="2"/>
        <v>96374559</v>
      </c>
      <c r="AG13" s="100">
        <v>46077</v>
      </c>
      <c r="AH13" s="107" t="s">
        <v>281</v>
      </c>
      <c r="AI13" s="64" t="s">
        <v>282</v>
      </c>
      <c r="AJ13" s="64" t="str">
        <f t="shared" si="3"/>
        <v>BANCO DEL PICHINCHA</v>
      </c>
      <c r="AK13" s="62">
        <f t="shared" si="4"/>
        <v>2038</v>
      </c>
      <c r="AL13" s="62" t="s">
        <v>230</v>
      </c>
      <c r="AM13" s="62"/>
      <c r="AN13" s="108"/>
      <c r="AO13" s="102" t="s">
        <v>218</v>
      </c>
      <c r="AP13" s="102" t="s">
        <v>272</v>
      </c>
      <c r="AQ13" s="97">
        <f t="shared" si="5"/>
        <v>46077</v>
      </c>
      <c r="AR13" s="63" t="str">
        <f t="shared" si="6"/>
        <v>96374559</v>
      </c>
      <c r="AS13" s="64" t="str">
        <f t="shared" si="7"/>
        <v>BANCO DEL PICHINCHA</v>
      </c>
    </row>
    <row r="14" spans="1:46" ht="14.25" customHeight="1">
      <c r="A14" s="62">
        <v>21</v>
      </c>
      <c r="B14" s="62" t="s">
        <v>191</v>
      </c>
      <c r="C14" s="62" t="s">
        <v>192</v>
      </c>
      <c r="D14" s="97">
        <v>46052</v>
      </c>
      <c r="E14" s="62">
        <v>2039</v>
      </c>
      <c r="F14" s="62" t="s">
        <v>283</v>
      </c>
      <c r="G14" s="62" t="s">
        <v>236</v>
      </c>
      <c r="H14" s="62" t="s">
        <v>274</v>
      </c>
      <c r="I14" s="64" t="s">
        <v>275</v>
      </c>
      <c r="J14" s="62" t="s">
        <v>196</v>
      </c>
      <c r="K14" s="62">
        <v>2008</v>
      </c>
      <c r="L14" s="62" t="s">
        <v>284</v>
      </c>
      <c r="M14" s="114" t="s">
        <v>285</v>
      </c>
      <c r="N14" s="114" t="s">
        <v>286</v>
      </c>
      <c r="O14" s="62" t="s">
        <v>287</v>
      </c>
      <c r="P14" s="62" t="s">
        <v>288</v>
      </c>
      <c r="Q14" s="62" t="s">
        <v>202</v>
      </c>
      <c r="R14" s="62" t="s">
        <v>203</v>
      </c>
      <c r="S14" s="62" t="s">
        <v>9</v>
      </c>
      <c r="T14" s="62" t="s">
        <v>9</v>
      </c>
      <c r="U14" s="62" t="s">
        <v>204</v>
      </c>
      <c r="V14" s="97">
        <v>46101</v>
      </c>
      <c r="W14" s="62" t="s">
        <v>289</v>
      </c>
      <c r="X14" s="62" t="s">
        <v>290</v>
      </c>
      <c r="Y14" s="62" t="s">
        <v>288</v>
      </c>
      <c r="Z14" s="114" t="s">
        <v>291</v>
      </c>
      <c r="AA14" s="62">
        <v>96697197</v>
      </c>
      <c r="AB14" s="62" t="s">
        <v>247</v>
      </c>
      <c r="AC14" s="109">
        <f t="shared" si="0"/>
        <v>50</v>
      </c>
      <c r="AD14" s="98">
        <v>15</v>
      </c>
      <c r="AE14" s="99">
        <f t="shared" si="1"/>
        <v>750</v>
      </c>
      <c r="AF14" s="98">
        <f t="shared" si="2"/>
        <v>96697197</v>
      </c>
      <c r="AG14" s="100">
        <v>46101</v>
      </c>
      <c r="AH14" s="63">
        <v>202603209352820</v>
      </c>
      <c r="AI14" s="64" t="s">
        <v>233</v>
      </c>
      <c r="AJ14" s="64" t="str">
        <f t="shared" si="3"/>
        <v>BANCO DEL PACIFICO</v>
      </c>
      <c r="AK14" s="62">
        <f t="shared" si="4"/>
        <v>2039</v>
      </c>
      <c r="AL14" s="62" t="s">
        <v>230</v>
      </c>
      <c r="AM14" s="62" t="s">
        <v>9</v>
      </c>
      <c r="AN14" s="62" t="s">
        <v>9</v>
      </c>
      <c r="AO14" s="102" t="s">
        <v>218</v>
      </c>
      <c r="AP14" s="64" t="s">
        <v>292</v>
      </c>
      <c r="AQ14" s="97">
        <f t="shared" si="5"/>
        <v>46101</v>
      </c>
      <c r="AR14" s="63">
        <f t="shared" si="6"/>
        <v>202603209352820</v>
      </c>
      <c r="AS14" s="64" t="str">
        <f t="shared" si="7"/>
        <v>BANCO DEL PACIFICO</v>
      </c>
    </row>
    <row r="15" spans="1:46" ht="14.25" customHeight="1">
      <c r="A15" s="62">
        <v>22</v>
      </c>
      <c r="B15" s="62" t="s">
        <v>191</v>
      </c>
      <c r="C15" s="62" t="s">
        <v>192</v>
      </c>
      <c r="D15" s="97">
        <v>46052</v>
      </c>
      <c r="E15" s="62">
        <v>2040</v>
      </c>
      <c r="F15" s="62" t="s">
        <v>293</v>
      </c>
      <c r="G15" s="62" t="s">
        <v>236</v>
      </c>
      <c r="H15" s="62" t="s">
        <v>294</v>
      </c>
      <c r="I15" s="64" t="s">
        <v>295</v>
      </c>
      <c r="J15" s="62" t="s">
        <v>209</v>
      </c>
      <c r="K15" s="62">
        <v>2019</v>
      </c>
      <c r="L15" s="62" t="s">
        <v>296</v>
      </c>
      <c r="M15" s="114" t="s">
        <v>297</v>
      </c>
      <c r="N15" s="114">
        <v>2.02601300925536E+18</v>
      </c>
      <c r="O15" s="62" t="s">
        <v>287</v>
      </c>
      <c r="P15" s="62" t="s">
        <v>298</v>
      </c>
      <c r="Q15" s="62" t="s">
        <v>202</v>
      </c>
      <c r="R15" s="62" t="s">
        <v>203</v>
      </c>
      <c r="S15" s="62" t="s">
        <v>9</v>
      </c>
      <c r="T15" s="62" t="s">
        <v>9</v>
      </c>
      <c r="U15" s="62" t="s">
        <v>204</v>
      </c>
      <c r="V15" s="97">
        <v>46077</v>
      </c>
      <c r="W15" s="62" t="s">
        <v>299</v>
      </c>
      <c r="X15" s="62" t="s">
        <v>300</v>
      </c>
      <c r="Y15" s="62" t="s">
        <v>298</v>
      </c>
      <c r="Z15" s="114">
        <v>1707104111</v>
      </c>
      <c r="AA15" s="62">
        <v>96373751</v>
      </c>
      <c r="AB15" s="62" t="s">
        <v>247</v>
      </c>
      <c r="AC15" s="62">
        <f t="shared" si="0"/>
        <v>26</v>
      </c>
      <c r="AD15" s="98">
        <v>15</v>
      </c>
      <c r="AE15" s="99">
        <f t="shared" si="1"/>
        <v>390</v>
      </c>
      <c r="AF15" s="98">
        <f t="shared" si="2"/>
        <v>96373751</v>
      </c>
      <c r="AG15" s="100">
        <v>46077</v>
      </c>
      <c r="AH15" s="63">
        <v>202602246615320</v>
      </c>
      <c r="AI15" s="64" t="s">
        <v>233</v>
      </c>
      <c r="AJ15" s="64" t="str">
        <f t="shared" si="3"/>
        <v>BANCO DEL PACIFICO</v>
      </c>
      <c r="AK15" s="62">
        <f t="shared" si="4"/>
        <v>2040</v>
      </c>
      <c r="AL15" s="62" t="s">
        <v>230</v>
      </c>
      <c r="AM15" s="62" t="s">
        <v>9</v>
      </c>
      <c r="AN15" s="62" t="s">
        <v>9</v>
      </c>
      <c r="AO15" s="102" t="s">
        <v>218</v>
      </c>
      <c r="AP15" s="64" t="s">
        <v>301</v>
      </c>
      <c r="AQ15" s="97">
        <f t="shared" si="5"/>
        <v>46077</v>
      </c>
      <c r="AR15" s="63">
        <f t="shared" si="6"/>
        <v>202602246615320</v>
      </c>
      <c r="AS15" s="64" t="str">
        <f t="shared" si="7"/>
        <v>BANCO DEL PACIFICO</v>
      </c>
    </row>
    <row r="16" spans="1:46" ht="14.25" customHeight="1">
      <c r="A16" s="62">
        <v>20</v>
      </c>
      <c r="B16" s="62" t="s">
        <v>191</v>
      </c>
      <c r="C16" s="62" t="s">
        <v>192</v>
      </c>
      <c r="D16" s="97">
        <v>46052</v>
      </c>
      <c r="E16" s="62">
        <v>2041</v>
      </c>
      <c r="F16" s="62" t="s">
        <v>302</v>
      </c>
      <c r="G16" s="62" t="s">
        <v>303</v>
      </c>
      <c r="H16" s="62" t="s">
        <v>304</v>
      </c>
      <c r="I16" s="64" t="s">
        <v>305</v>
      </c>
      <c r="J16" s="62" t="s">
        <v>306</v>
      </c>
      <c r="K16" s="62">
        <v>2012</v>
      </c>
      <c r="L16" s="62" t="s">
        <v>307</v>
      </c>
      <c r="M16" s="114">
        <v>79513534</v>
      </c>
      <c r="N16" s="114" t="s">
        <v>286</v>
      </c>
      <c r="O16" s="62" t="s">
        <v>287</v>
      </c>
      <c r="P16" s="62" t="s">
        <v>308</v>
      </c>
      <c r="Q16" s="62" t="s">
        <v>202</v>
      </c>
      <c r="R16" s="62" t="s">
        <v>203</v>
      </c>
      <c r="S16" s="62" t="s">
        <v>9</v>
      </c>
      <c r="T16" s="62" t="s">
        <v>9</v>
      </c>
      <c r="U16" s="62" t="s">
        <v>204</v>
      </c>
      <c r="V16" s="97">
        <v>46058</v>
      </c>
      <c r="W16" s="62" t="s">
        <v>309</v>
      </c>
      <c r="X16" s="62" t="s">
        <v>300</v>
      </c>
      <c r="Y16" s="62" t="s">
        <v>310</v>
      </c>
      <c r="Z16" s="114" t="s">
        <v>311</v>
      </c>
      <c r="AA16" s="62">
        <v>96297232</v>
      </c>
      <c r="AB16" s="62" t="s">
        <v>247</v>
      </c>
      <c r="AC16" s="109">
        <f t="shared" si="0"/>
        <v>7</v>
      </c>
      <c r="AD16" s="98">
        <v>15</v>
      </c>
      <c r="AE16" s="99">
        <f t="shared" si="1"/>
        <v>105</v>
      </c>
      <c r="AF16" s="98">
        <f t="shared" si="2"/>
        <v>96297232</v>
      </c>
      <c r="AG16" s="100">
        <v>46058</v>
      </c>
      <c r="AH16" s="63">
        <v>17252935</v>
      </c>
      <c r="AI16" s="101" t="s">
        <v>312</v>
      </c>
      <c r="AJ16" s="64" t="str">
        <f t="shared" si="3"/>
        <v>SERVIPAGOS</v>
      </c>
      <c r="AK16" s="62">
        <f t="shared" si="4"/>
        <v>2041</v>
      </c>
      <c r="AL16" s="62" t="s">
        <v>230</v>
      </c>
      <c r="AM16" s="62" t="s">
        <v>9</v>
      </c>
      <c r="AN16" s="62" t="s">
        <v>9</v>
      </c>
      <c r="AO16" s="102" t="s">
        <v>218</v>
      </c>
      <c r="AP16" s="64" t="s">
        <v>313</v>
      </c>
      <c r="AQ16" s="97">
        <f t="shared" si="5"/>
        <v>46058</v>
      </c>
      <c r="AR16" s="63">
        <f t="shared" si="6"/>
        <v>17252935</v>
      </c>
      <c r="AS16" s="64" t="str">
        <f t="shared" si="7"/>
        <v>SERVIPAGOS</v>
      </c>
      <c r="AT16" s="103"/>
    </row>
    <row r="17" spans="1:50" ht="15" customHeight="1">
      <c r="A17" s="62">
        <v>25</v>
      </c>
      <c r="B17" s="62" t="s">
        <v>191</v>
      </c>
      <c r="C17" s="62" t="s">
        <v>192</v>
      </c>
      <c r="D17" s="97">
        <v>46055</v>
      </c>
      <c r="E17" s="62">
        <v>2042</v>
      </c>
      <c r="F17" s="62" t="s">
        <v>314</v>
      </c>
      <c r="G17" s="62" t="s">
        <v>315</v>
      </c>
      <c r="H17" s="62" t="s">
        <v>316</v>
      </c>
      <c r="I17" s="105" t="s">
        <v>317</v>
      </c>
      <c r="J17" s="62" t="s">
        <v>209</v>
      </c>
      <c r="K17" s="62">
        <v>2021</v>
      </c>
      <c r="L17" s="62" t="s">
        <v>318</v>
      </c>
      <c r="M17" s="223">
        <v>82068908</v>
      </c>
      <c r="N17" s="114" t="s">
        <v>319</v>
      </c>
      <c r="O17" s="62" t="s">
        <v>255</v>
      </c>
      <c r="P17" s="62" t="s">
        <v>320</v>
      </c>
      <c r="Q17" s="62" t="s">
        <v>202</v>
      </c>
      <c r="R17" s="62" t="s">
        <v>203</v>
      </c>
      <c r="S17" s="62"/>
      <c r="T17" s="62"/>
      <c r="U17" s="62" t="s">
        <v>204</v>
      </c>
      <c r="V17" s="97">
        <v>46094</v>
      </c>
      <c r="W17" s="62" t="s">
        <v>321</v>
      </c>
      <c r="X17" s="62" t="s">
        <v>322</v>
      </c>
      <c r="Y17" s="62" t="str">
        <f>P17</f>
        <v>MEDINA AROCA LUIS DANIEL</v>
      </c>
      <c r="Z17" s="114" t="s">
        <v>323</v>
      </c>
      <c r="AA17" s="109"/>
      <c r="AB17" s="62" t="s">
        <v>216</v>
      </c>
      <c r="AC17" s="62">
        <f t="shared" si="0"/>
        <v>40</v>
      </c>
      <c r="AD17" s="98">
        <v>9</v>
      </c>
      <c r="AE17" s="99">
        <f t="shared" si="1"/>
        <v>360</v>
      </c>
      <c r="AF17" s="110">
        <f t="shared" si="2"/>
        <v>0</v>
      </c>
      <c r="AG17" s="100">
        <v>46094</v>
      </c>
      <c r="AH17" s="107" t="s">
        <v>324</v>
      </c>
      <c r="AI17" s="64" t="s">
        <v>325</v>
      </c>
      <c r="AJ17" s="64" t="str">
        <f t="shared" si="3"/>
        <v>BANCO DEL PACIFICO-BANCO DEL PACIFICO</v>
      </c>
      <c r="AK17" s="62">
        <f t="shared" si="4"/>
        <v>2042</v>
      </c>
      <c r="AL17" s="62" t="s">
        <v>204</v>
      </c>
      <c r="AM17" s="62"/>
      <c r="AN17" s="108"/>
      <c r="AO17" s="102" t="s">
        <v>218</v>
      </c>
      <c r="AP17" s="102" t="s">
        <v>326</v>
      </c>
      <c r="AQ17" s="97">
        <f t="shared" si="5"/>
        <v>46094</v>
      </c>
      <c r="AR17" s="63" t="str">
        <f t="shared" si="6"/>
        <v>96502041-STO-SOL-031301007927594-17305788-7927594</v>
      </c>
      <c r="AS17" s="64" t="str">
        <f t="shared" si="7"/>
        <v>BANCO DEL PACIFICO-BANCO DEL PACIFICO</v>
      </c>
    </row>
    <row r="18" spans="1:50" ht="14.25" customHeight="1">
      <c r="A18" s="62">
        <v>26</v>
      </c>
      <c r="B18" s="62" t="s">
        <v>191</v>
      </c>
      <c r="C18" s="62" t="s">
        <v>192</v>
      </c>
      <c r="D18" s="97">
        <v>46058</v>
      </c>
      <c r="E18" s="62">
        <v>2043</v>
      </c>
      <c r="F18" s="62" t="s">
        <v>327</v>
      </c>
      <c r="G18" s="62" t="s">
        <v>328</v>
      </c>
      <c r="H18" s="62" t="s">
        <v>261</v>
      </c>
      <c r="I18" s="105" t="s">
        <v>329</v>
      </c>
      <c r="J18" s="62" t="s">
        <v>209</v>
      </c>
      <c r="K18" s="62">
        <v>2003</v>
      </c>
      <c r="L18" s="62" t="s">
        <v>330</v>
      </c>
      <c r="M18" s="222" t="s">
        <v>331</v>
      </c>
      <c r="N18" s="114" t="s">
        <v>332</v>
      </c>
      <c r="O18" s="62" t="s">
        <v>333</v>
      </c>
      <c r="P18" s="62" t="s">
        <v>334</v>
      </c>
      <c r="Q18" s="62" t="s">
        <v>202</v>
      </c>
      <c r="R18" s="62" t="s">
        <v>203</v>
      </c>
      <c r="S18" s="62"/>
      <c r="T18" s="62"/>
      <c r="U18" s="62" t="s">
        <v>335</v>
      </c>
      <c r="V18" s="97">
        <v>46128</v>
      </c>
      <c r="W18" s="62" t="s">
        <v>336</v>
      </c>
      <c r="X18" s="62" t="s">
        <v>215</v>
      </c>
      <c r="Y18" s="62" t="str">
        <f>P18</f>
        <v>CAZA MENDEZ JOSE LUIS</v>
      </c>
      <c r="Z18" s="114" t="s">
        <v>337</v>
      </c>
      <c r="AA18" s="62" t="s">
        <v>338</v>
      </c>
      <c r="AB18" s="62" t="s">
        <v>216</v>
      </c>
      <c r="AC18" s="62">
        <f t="shared" si="0"/>
        <v>71</v>
      </c>
      <c r="AD18" s="98">
        <v>9</v>
      </c>
      <c r="AE18" s="99">
        <f t="shared" si="1"/>
        <v>639</v>
      </c>
      <c r="AF18" s="98" t="str">
        <f t="shared" si="2"/>
        <v>97283471/96689377</v>
      </c>
      <c r="AG18" s="100">
        <v>46128</v>
      </c>
      <c r="AH18" s="107" t="s">
        <v>339</v>
      </c>
      <c r="AI18" s="64" t="s">
        <v>325</v>
      </c>
      <c r="AJ18" s="64" t="str">
        <f t="shared" si="3"/>
        <v>BANCO DEL PACIFICO-BANCO DEL PACIFICO</v>
      </c>
      <c r="AK18" s="62">
        <f t="shared" si="4"/>
        <v>2043</v>
      </c>
      <c r="AL18" s="62" t="s">
        <v>340</v>
      </c>
      <c r="AM18" s="62"/>
      <c r="AN18" s="108"/>
      <c r="AO18" s="102" t="s">
        <v>218</v>
      </c>
      <c r="AP18" s="102" t="s">
        <v>272</v>
      </c>
      <c r="AQ18" s="97">
        <f t="shared" si="5"/>
        <v>46128</v>
      </c>
      <c r="AR18" s="63" t="str">
        <f t="shared" si="6"/>
        <v>202604163646507</v>
      </c>
      <c r="AS18" s="64" t="str">
        <f t="shared" si="7"/>
        <v>BANCO DEL PACIFICO-BANCO DEL PACIFICO</v>
      </c>
    </row>
    <row r="19" spans="1:50" ht="14.25" customHeight="1">
      <c r="A19" s="62">
        <v>27</v>
      </c>
      <c r="B19" s="62" t="s">
        <v>191</v>
      </c>
      <c r="C19" s="62" t="s">
        <v>192</v>
      </c>
      <c r="D19" s="97">
        <v>46059</v>
      </c>
      <c r="E19" s="62">
        <v>2044</v>
      </c>
      <c r="F19" s="62" t="s">
        <v>341</v>
      </c>
      <c r="G19" s="62" t="s">
        <v>342</v>
      </c>
      <c r="H19" s="62" t="s">
        <v>294</v>
      </c>
      <c r="I19" s="64" t="s">
        <v>343</v>
      </c>
      <c r="J19" s="62" t="s">
        <v>209</v>
      </c>
      <c r="K19" s="62">
        <v>2005</v>
      </c>
      <c r="L19" s="62" t="s">
        <v>344</v>
      </c>
      <c r="M19" s="222" t="s">
        <v>345</v>
      </c>
      <c r="N19" s="114" t="s">
        <v>346</v>
      </c>
      <c r="O19" s="62" t="s">
        <v>347</v>
      </c>
      <c r="P19" s="62" t="s">
        <v>348</v>
      </c>
      <c r="Q19" s="62" t="s">
        <v>202</v>
      </c>
      <c r="R19" s="62" t="s">
        <v>203</v>
      </c>
      <c r="S19" s="62"/>
      <c r="T19" s="62"/>
      <c r="U19" s="62" t="s">
        <v>335</v>
      </c>
      <c r="V19" s="97">
        <v>46091</v>
      </c>
      <c r="W19" s="62" t="s">
        <v>349</v>
      </c>
      <c r="X19" s="62" t="s">
        <v>350</v>
      </c>
      <c r="Y19" s="62" t="str">
        <f>P19</f>
        <v>NELSON ENRIQUE REYES MENA</v>
      </c>
      <c r="Z19" s="114" t="s">
        <v>351</v>
      </c>
      <c r="AA19" s="62">
        <v>96455066</v>
      </c>
      <c r="AB19" s="62" t="s">
        <v>247</v>
      </c>
      <c r="AC19" s="62">
        <f t="shared" si="0"/>
        <v>33</v>
      </c>
      <c r="AD19" s="98">
        <v>15</v>
      </c>
      <c r="AE19" s="99">
        <f t="shared" si="1"/>
        <v>495</v>
      </c>
      <c r="AF19" s="98">
        <f t="shared" si="2"/>
        <v>96455066</v>
      </c>
      <c r="AG19" s="100">
        <v>44995</v>
      </c>
      <c r="AH19" s="107" t="s">
        <v>352</v>
      </c>
      <c r="AI19" s="64" t="s">
        <v>325</v>
      </c>
      <c r="AJ19" s="64" t="str">
        <f t="shared" si="3"/>
        <v>BANCO DEL PACIFICO-BANCO DEL PACIFICO</v>
      </c>
      <c r="AK19" s="62">
        <f t="shared" si="4"/>
        <v>2044</v>
      </c>
      <c r="AL19" s="62" t="s">
        <v>230</v>
      </c>
      <c r="AM19" s="62"/>
      <c r="AN19" s="108"/>
      <c r="AO19" s="102" t="s">
        <v>218</v>
      </c>
      <c r="AP19" s="102" t="s">
        <v>353</v>
      </c>
      <c r="AQ19" s="97">
        <f t="shared" si="5"/>
        <v>44995</v>
      </c>
      <c r="AR19" s="63" t="str">
        <f t="shared" si="6"/>
        <v>202603107899120</v>
      </c>
      <c r="AS19" s="64" t="str">
        <f t="shared" si="7"/>
        <v>BANCO DEL PACIFICO-BANCO DEL PACIFICO</v>
      </c>
    </row>
    <row r="20" spans="1:50" ht="14.25" customHeight="1">
      <c r="A20" s="62">
        <v>33</v>
      </c>
      <c r="B20" s="62" t="s">
        <v>191</v>
      </c>
      <c r="C20" s="62" t="s">
        <v>192</v>
      </c>
      <c r="D20" s="97">
        <v>46059</v>
      </c>
      <c r="E20" s="62">
        <v>2045</v>
      </c>
      <c r="F20" s="62" t="s">
        <v>354</v>
      </c>
      <c r="G20" s="62" t="s">
        <v>260</v>
      </c>
      <c r="H20" s="62" t="s">
        <v>355</v>
      </c>
      <c r="I20" s="64" t="s">
        <v>356</v>
      </c>
      <c r="J20" s="62" t="s">
        <v>209</v>
      </c>
      <c r="K20" s="62">
        <v>2025</v>
      </c>
      <c r="L20" s="62" t="s">
        <v>357</v>
      </c>
      <c r="M20" s="114">
        <v>250417006807</v>
      </c>
      <c r="N20" s="114" t="s">
        <v>358</v>
      </c>
      <c r="O20" s="62" t="s">
        <v>359</v>
      </c>
      <c r="P20" s="62" t="s">
        <v>360</v>
      </c>
      <c r="Q20" s="62" t="s">
        <v>202</v>
      </c>
      <c r="R20" s="62" t="s">
        <v>203</v>
      </c>
      <c r="S20" s="62"/>
      <c r="T20" s="62"/>
      <c r="U20" s="62" t="s">
        <v>230</v>
      </c>
      <c r="V20" s="97">
        <v>46106</v>
      </c>
      <c r="W20" s="62" t="s">
        <v>361</v>
      </c>
      <c r="X20" s="62" t="s">
        <v>215</v>
      </c>
      <c r="Y20" s="62" t="s">
        <v>362</v>
      </c>
      <c r="Z20" s="114">
        <v>1206209627</v>
      </c>
      <c r="AA20" s="62">
        <v>9680021</v>
      </c>
      <c r="AB20" s="64" t="s">
        <v>258</v>
      </c>
      <c r="AC20" s="62">
        <f t="shared" si="0"/>
        <v>48</v>
      </c>
      <c r="AD20" s="98">
        <f t="shared" ref="AD20:AD31" si="8">IF(AB20="SERVICIO DE GARAJE LIVIANOS (HASTA 3,5 TN A EXCEPCIÓN DE MOTOCICLETAS) (DIARIOS)",3,IF(AB20="SERVICIO DE GARAJE PESADOS (DE 3,51 TN HASTA 12 TN) (DIARIOS)",9,IF(AB20="SERVICIO DE GARAJE (CENTROS DE RETENCIÓN) MOTOCICLETA",1,IF(AB20="SERVICIO DE GARAJE EXTRA PESADOS (MÁS DE 12 TN) (DIARIOS)",15,0))))</f>
        <v>15</v>
      </c>
      <c r="AE20" s="99">
        <f t="shared" si="1"/>
        <v>720</v>
      </c>
      <c r="AF20" s="98">
        <f t="shared" si="2"/>
        <v>9680021</v>
      </c>
      <c r="AG20" s="100">
        <v>46106</v>
      </c>
      <c r="AH20" s="63">
        <v>202603255394920</v>
      </c>
      <c r="AI20" s="101" t="s">
        <v>363</v>
      </c>
      <c r="AJ20" s="64" t="str">
        <f t="shared" si="3"/>
        <v>BANCO PACIFICO</v>
      </c>
      <c r="AK20" s="62">
        <f t="shared" si="4"/>
        <v>2045</v>
      </c>
      <c r="AL20" s="62" t="s">
        <v>230</v>
      </c>
      <c r="AM20" s="62"/>
      <c r="AN20" s="108"/>
      <c r="AO20" s="102" t="s">
        <v>218</v>
      </c>
      <c r="AP20" s="102" t="s">
        <v>353</v>
      </c>
      <c r="AQ20" s="97">
        <f t="shared" si="5"/>
        <v>46106</v>
      </c>
      <c r="AR20" s="63">
        <f t="shared" si="6"/>
        <v>202603255394920</v>
      </c>
      <c r="AS20" s="64" t="str">
        <f t="shared" si="7"/>
        <v>BANCO PACIFICO</v>
      </c>
      <c r="AU20" s="111"/>
      <c r="AV20" s="62"/>
      <c r="AW20" s="62"/>
      <c r="AX20" s="62"/>
    </row>
    <row r="21" spans="1:50" ht="14.25" customHeight="1">
      <c r="A21" s="62">
        <v>35</v>
      </c>
      <c r="B21" s="62" t="s">
        <v>191</v>
      </c>
      <c r="C21" s="62" t="s">
        <v>192</v>
      </c>
      <c r="D21" s="97">
        <v>46064</v>
      </c>
      <c r="E21" s="62">
        <v>2046</v>
      </c>
      <c r="F21" s="62" t="s">
        <v>364</v>
      </c>
      <c r="G21" s="62" t="s">
        <v>315</v>
      </c>
      <c r="H21" s="62" t="s">
        <v>294</v>
      </c>
      <c r="I21" s="64" t="s">
        <v>365</v>
      </c>
      <c r="J21" s="62" t="s">
        <v>209</v>
      </c>
      <c r="K21" s="62">
        <v>2025</v>
      </c>
      <c r="L21" s="62" t="s">
        <v>366</v>
      </c>
      <c r="M21" s="114">
        <v>84635711</v>
      </c>
      <c r="N21" s="114" t="s">
        <v>367</v>
      </c>
      <c r="O21" s="62" t="s">
        <v>333</v>
      </c>
      <c r="P21" s="62" t="s">
        <v>368</v>
      </c>
      <c r="Q21" s="62" t="s">
        <v>202</v>
      </c>
      <c r="R21" s="62" t="s">
        <v>203</v>
      </c>
      <c r="S21" s="62"/>
      <c r="T21" s="62"/>
      <c r="U21" s="62" t="s">
        <v>271</v>
      </c>
      <c r="V21" s="97">
        <v>46086</v>
      </c>
      <c r="W21" s="62" t="s">
        <v>369</v>
      </c>
      <c r="X21" s="62" t="s">
        <v>215</v>
      </c>
      <c r="Y21" s="62" t="str">
        <f>P21</f>
        <v>RODRIGUEZ YUQUI CARMEN AMELIA</v>
      </c>
      <c r="Z21" s="114">
        <v>913220786</v>
      </c>
      <c r="AA21" s="62">
        <v>96419706</v>
      </c>
      <c r="AB21" s="62" t="s">
        <v>216</v>
      </c>
      <c r="AC21" s="62">
        <f t="shared" si="0"/>
        <v>23</v>
      </c>
      <c r="AD21" s="98">
        <f t="shared" si="8"/>
        <v>9</v>
      </c>
      <c r="AE21" s="99">
        <f t="shared" si="1"/>
        <v>207</v>
      </c>
      <c r="AF21" s="98">
        <f t="shared" si="2"/>
        <v>96419706</v>
      </c>
      <c r="AG21" s="100">
        <v>46085</v>
      </c>
      <c r="AH21" s="63">
        <v>96419706</v>
      </c>
      <c r="AI21" s="101" t="s">
        <v>370</v>
      </c>
      <c r="AJ21" s="64" t="str">
        <f t="shared" si="3"/>
        <v>MI NEGOCIO EFECTIVO  BANCO PICHINCHA</v>
      </c>
      <c r="AK21" s="62">
        <f t="shared" si="4"/>
        <v>2046</v>
      </c>
      <c r="AL21" s="62" t="s">
        <v>230</v>
      </c>
      <c r="AM21" s="62"/>
      <c r="AN21" s="62"/>
      <c r="AO21" s="102" t="s">
        <v>218</v>
      </c>
      <c r="AP21" s="102" t="s">
        <v>313</v>
      </c>
      <c r="AQ21" s="97">
        <f t="shared" si="5"/>
        <v>46085</v>
      </c>
      <c r="AR21" s="63">
        <f t="shared" si="6"/>
        <v>96419706</v>
      </c>
      <c r="AS21" s="64" t="str">
        <f t="shared" si="7"/>
        <v>MI NEGOCIO EFECTIVO  BANCO PICHINCHA</v>
      </c>
      <c r="AU21" s="111"/>
      <c r="AV21" s="62"/>
      <c r="AW21" s="62"/>
      <c r="AX21" s="62"/>
    </row>
    <row r="22" spans="1:50" ht="14.25" customHeight="1">
      <c r="A22" s="62">
        <v>34</v>
      </c>
      <c r="B22" s="62" t="s">
        <v>191</v>
      </c>
      <c r="C22" s="62" t="s">
        <v>192</v>
      </c>
      <c r="D22" s="97">
        <v>46064</v>
      </c>
      <c r="E22" s="62">
        <v>2047</v>
      </c>
      <c r="F22" s="62" t="s">
        <v>371</v>
      </c>
      <c r="G22" s="62" t="s">
        <v>372</v>
      </c>
      <c r="H22" s="62" t="s">
        <v>304</v>
      </c>
      <c r="I22" s="64" t="s">
        <v>373</v>
      </c>
      <c r="J22" s="62" t="s">
        <v>239</v>
      </c>
      <c r="K22" s="62">
        <v>2024</v>
      </c>
      <c r="L22" s="62" t="s">
        <v>374</v>
      </c>
      <c r="M22" s="114" t="s">
        <v>375</v>
      </c>
      <c r="N22" s="114" t="s">
        <v>367</v>
      </c>
      <c r="O22" s="62" t="s">
        <v>333</v>
      </c>
      <c r="P22" s="62" t="s">
        <v>376</v>
      </c>
      <c r="Q22" s="62" t="s">
        <v>202</v>
      </c>
      <c r="R22" s="62" t="s">
        <v>203</v>
      </c>
      <c r="S22" s="62"/>
      <c r="T22" s="62"/>
      <c r="U22" s="62" t="s">
        <v>230</v>
      </c>
      <c r="V22" s="97">
        <v>46085</v>
      </c>
      <c r="W22" s="62" t="s">
        <v>377</v>
      </c>
      <c r="X22" s="62" t="s">
        <v>215</v>
      </c>
      <c r="Y22" s="62" t="str">
        <f>P22</f>
        <v>RAMOS ARGUELLO HOLGER ROLANDO</v>
      </c>
      <c r="Z22" s="114">
        <v>201455029</v>
      </c>
      <c r="AA22" s="62">
        <v>96419609</v>
      </c>
      <c r="AB22" s="64" t="s">
        <v>258</v>
      </c>
      <c r="AC22" s="62">
        <f t="shared" si="0"/>
        <v>22</v>
      </c>
      <c r="AD22" s="98">
        <f t="shared" si="8"/>
        <v>15</v>
      </c>
      <c r="AE22" s="99">
        <f t="shared" si="1"/>
        <v>330</v>
      </c>
      <c r="AF22" s="98">
        <f t="shared" si="2"/>
        <v>96419609</v>
      </c>
      <c r="AG22" s="100">
        <v>46085</v>
      </c>
      <c r="AH22" s="63">
        <v>96419609</v>
      </c>
      <c r="AI22" s="101" t="s">
        <v>282</v>
      </c>
      <c r="AJ22" s="64" t="str">
        <f t="shared" si="3"/>
        <v>BANCO DEL PICHINCHA</v>
      </c>
      <c r="AK22" s="62">
        <f t="shared" si="4"/>
        <v>2047</v>
      </c>
      <c r="AL22" s="62" t="s">
        <v>230</v>
      </c>
      <c r="AM22" s="62"/>
      <c r="AN22" s="108"/>
      <c r="AO22" s="102" t="s">
        <v>218</v>
      </c>
      <c r="AP22" s="102" t="s">
        <v>313</v>
      </c>
      <c r="AQ22" s="97">
        <f t="shared" si="5"/>
        <v>46085</v>
      </c>
      <c r="AR22" s="63">
        <f t="shared" si="6"/>
        <v>96419609</v>
      </c>
      <c r="AS22" s="64" t="str">
        <f t="shared" si="7"/>
        <v>BANCO DEL PICHINCHA</v>
      </c>
      <c r="AU22" s="111"/>
      <c r="AV22" s="62"/>
      <c r="AW22" s="62"/>
      <c r="AX22" s="62"/>
    </row>
    <row r="23" spans="1:50" ht="14.25" customHeight="1">
      <c r="A23" s="62">
        <v>36</v>
      </c>
      <c r="B23" s="62" t="s">
        <v>191</v>
      </c>
      <c r="C23" s="62" t="s">
        <v>192</v>
      </c>
      <c r="D23" s="97">
        <v>46074</v>
      </c>
      <c r="E23" s="62">
        <v>2048</v>
      </c>
      <c r="F23" s="62" t="s">
        <v>378</v>
      </c>
      <c r="G23" s="62" t="s">
        <v>236</v>
      </c>
      <c r="H23" s="62" t="s">
        <v>304</v>
      </c>
      <c r="I23" s="64" t="s">
        <v>379</v>
      </c>
      <c r="J23" s="62" t="s">
        <v>209</v>
      </c>
      <c r="K23" s="62">
        <v>2023</v>
      </c>
      <c r="L23" s="62" t="s">
        <v>380</v>
      </c>
      <c r="M23" s="114" t="s">
        <v>381</v>
      </c>
      <c r="N23" s="114" t="s">
        <v>382</v>
      </c>
      <c r="O23" s="62" t="s">
        <v>212</v>
      </c>
      <c r="P23" s="62" t="s">
        <v>383</v>
      </c>
      <c r="Q23" s="62" t="s">
        <v>202</v>
      </c>
      <c r="R23" s="62" t="s">
        <v>203</v>
      </c>
      <c r="S23" s="62"/>
      <c r="T23" s="62"/>
      <c r="U23" s="62" t="s">
        <v>230</v>
      </c>
      <c r="V23" s="97">
        <v>46080</v>
      </c>
      <c r="W23" s="62" t="s">
        <v>384</v>
      </c>
      <c r="X23" s="62" t="s">
        <v>267</v>
      </c>
      <c r="Y23" s="62" t="str">
        <f>P23</f>
        <v>JIMENEZ VACA LEONEL ISRAEL</v>
      </c>
      <c r="Z23" s="114">
        <v>503404246</v>
      </c>
      <c r="AA23" s="62">
        <v>96398097</v>
      </c>
      <c r="AB23" s="62" t="s">
        <v>258</v>
      </c>
      <c r="AC23" s="62">
        <f t="shared" si="0"/>
        <v>7</v>
      </c>
      <c r="AD23" s="98">
        <f t="shared" si="8"/>
        <v>15</v>
      </c>
      <c r="AE23" s="99">
        <f t="shared" si="1"/>
        <v>105</v>
      </c>
      <c r="AF23" s="98">
        <f t="shared" si="2"/>
        <v>96398097</v>
      </c>
      <c r="AG23" s="100">
        <v>46080</v>
      </c>
      <c r="AH23" s="63">
        <v>2542207</v>
      </c>
      <c r="AI23" s="101" t="s">
        <v>233</v>
      </c>
      <c r="AJ23" s="64" t="str">
        <f t="shared" si="3"/>
        <v>BANCO DEL PACIFICO</v>
      </c>
      <c r="AK23" s="62">
        <f t="shared" si="4"/>
        <v>2048</v>
      </c>
      <c r="AL23" s="62" t="s">
        <v>271</v>
      </c>
      <c r="AM23" s="62"/>
      <c r="AN23" s="108"/>
      <c r="AO23" s="102" t="s">
        <v>218</v>
      </c>
      <c r="AP23" s="102" t="s">
        <v>385</v>
      </c>
      <c r="AQ23" s="97">
        <f t="shared" si="5"/>
        <v>46080</v>
      </c>
      <c r="AR23" s="63">
        <f t="shared" si="6"/>
        <v>2542207</v>
      </c>
      <c r="AS23" s="64" t="str">
        <f t="shared" si="7"/>
        <v>BANCO DEL PACIFICO</v>
      </c>
      <c r="AU23" s="111"/>
      <c r="AV23" s="62"/>
      <c r="AW23" s="62"/>
      <c r="AX23" s="62"/>
    </row>
    <row r="24" spans="1:50" ht="14.25" customHeight="1">
      <c r="A24" s="62">
        <v>38</v>
      </c>
      <c r="B24" s="62" t="s">
        <v>191</v>
      </c>
      <c r="C24" s="62" t="s">
        <v>192</v>
      </c>
      <c r="D24" s="97">
        <v>46078</v>
      </c>
      <c r="E24" s="62">
        <v>2050</v>
      </c>
      <c r="F24" s="62" t="s">
        <v>386</v>
      </c>
      <c r="G24" s="62" t="s">
        <v>236</v>
      </c>
      <c r="H24" s="62" t="s">
        <v>294</v>
      </c>
      <c r="I24" s="64" t="s">
        <v>387</v>
      </c>
      <c r="J24" s="62" t="s">
        <v>209</v>
      </c>
      <c r="K24" s="62">
        <v>2025</v>
      </c>
      <c r="L24" s="62" t="s">
        <v>388</v>
      </c>
      <c r="M24" s="114" t="s">
        <v>389</v>
      </c>
      <c r="N24" s="114" t="s">
        <v>390</v>
      </c>
      <c r="O24" s="62" t="s">
        <v>391</v>
      </c>
      <c r="P24" s="62" t="s">
        <v>392</v>
      </c>
      <c r="Q24" s="62" t="s">
        <v>202</v>
      </c>
      <c r="R24" s="62" t="s">
        <v>203</v>
      </c>
      <c r="S24" s="62"/>
      <c r="T24" s="62"/>
      <c r="U24" s="62" t="s">
        <v>271</v>
      </c>
      <c r="V24" s="97">
        <v>46122</v>
      </c>
      <c r="W24" s="62" t="s">
        <v>393</v>
      </c>
      <c r="X24" s="62" t="s">
        <v>394</v>
      </c>
      <c r="Y24" s="62" t="s">
        <v>395</v>
      </c>
      <c r="Z24" s="114">
        <v>1706508155</v>
      </c>
      <c r="AA24" s="62">
        <v>97132574</v>
      </c>
      <c r="AB24" s="62" t="s">
        <v>216</v>
      </c>
      <c r="AC24" s="62">
        <f t="shared" si="0"/>
        <v>45</v>
      </c>
      <c r="AD24" s="98">
        <f t="shared" si="8"/>
        <v>9</v>
      </c>
      <c r="AE24" s="99">
        <f t="shared" si="1"/>
        <v>405</v>
      </c>
      <c r="AF24" s="98">
        <f t="shared" si="2"/>
        <v>97132574</v>
      </c>
      <c r="AG24" s="100">
        <v>46122</v>
      </c>
      <c r="AH24" s="63">
        <v>202604102635920</v>
      </c>
      <c r="AI24" s="101" t="s">
        <v>233</v>
      </c>
      <c r="AJ24" s="64" t="str">
        <f t="shared" si="3"/>
        <v>BANCO DEL PACIFICO</v>
      </c>
      <c r="AK24" s="62">
        <f t="shared" si="4"/>
        <v>2050</v>
      </c>
      <c r="AL24" s="62" t="s">
        <v>204</v>
      </c>
      <c r="AM24" s="62"/>
      <c r="AN24" s="62"/>
      <c r="AO24" s="102" t="s">
        <v>218</v>
      </c>
      <c r="AP24" s="102" t="s">
        <v>396</v>
      </c>
      <c r="AQ24" s="97">
        <f t="shared" si="5"/>
        <v>46122</v>
      </c>
      <c r="AR24" s="63">
        <f t="shared" si="6"/>
        <v>202604102635920</v>
      </c>
      <c r="AS24" s="64" t="str">
        <f t="shared" si="7"/>
        <v>BANCO DEL PACIFICO</v>
      </c>
      <c r="AU24" s="111"/>
      <c r="AV24" s="62"/>
      <c r="AW24" s="62"/>
      <c r="AX24" s="62"/>
    </row>
    <row r="25" spans="1:50" ht="14.25" customHeight="1">
      <c r="A25" s="62">
        <v>37</v>
      </c>
      <c r="B25" s="62" t="s">
        <v>191</v>
      </c>
      <c r="C25" s="62" t="s">
        <v>192</v>
      </c>
      <c r="D25" s="97">
        <v>46078</v>
      </c>
      <c r="E25" s="62">
        <v>2049</v>
      </c>
      <c r="F25" s="62" t="s">
        <v>397</v>
      </c>
      <c r="G25" s="62" t="s">
        <v>236</v>
      </c>
      <c r="H25" s="62" t="s">
        <v>294</v>
      </c>
      <c r="I25" s="64" t="s">
        <v>398</v>
      </c>
      <c r="J25" s="62" t="s">
        <v>209</v>
      </c>
      <c r="K25" s="62">
        <v>2025</v>
      </c>
      <c r="L25" s="62" t="s">
        <v>399</v>
      </c>
      <c r="M25" s="114" t="s">
        <v>400</v>
      </c>
      <c r="N25" s="114" t="s">
        <v>401</v>
      </c>
      <c r="O25" s="62" t="s">
        <v>402</v>
      </c>
      <c r="P25" s="62" t="s">
        <v>403</v>
      </c>
      <c r="Q25" s="62" t="s">
        <v>202</v>
      </c>
      <c r="R25" s="62" t="s">
        <v>203</v>
      </c>
      <c r="S25" s="62"/>
      <c r="T25" s="62"/>
      <c r="U25" s="62" t="s">
        <v>271</v>
      </c>
      <c r="V25" s="97">
        <v>46093</v>
      </c>
      <c r="W25" s="62" t="s">
        <v>404</v>
      </c>
      <c r="X25" s="62" t="s">
        <v>350</v>
      </c>
      <c r="Y25" s="62" t="str">
        <f t="shared" ref="Y25:Y33" si="9">P25</f>
        <v>ALCOCER ZAPATA LUIS GUSTAVO</v>
      </c>
      <c r="Z25" s="114">
        <v>1710361179</v>
      </c>
      <c r="AA25" s="62">
        <v>96484775</v>
      </c>
      <c r="AB25" s="62" t="s">
        <v>216</v>
      </c>
      <c r="AC25" s="62">
        <f t="shared" si="0"/>
        <v>16</v>
      </c>
      <c r="AD25" s="98">
        <f t="shared" si="8"/>
        <v>9</v>
      </c>
      <c r="AE25" s="99">
        <f t="shared" si="1"/>
        <v>144</v>
      </c>
      <c r="AF25" s="98">
        <f t="shared" si="2"/>
        <v>96484775</v>
      </c>
      <c r="AG25" s="100">
        <v>46093</v>
      </c>
      <c r="AH25" s="63">
        <v>96484775</v>
      </c>
      <c r="AI25" s="101" t="s">
        <v>405</v>
      </c>
      <c r="AJ25" s="64" t="str">
        <f t="shared" si="3"/>
        <v>MI NEGOCIO EFECTIVO-MI NEGOCIO EFECTIVO</v>
      </c>
      <c r="AK25" s="62">
        <f t="shared" si="4"/>
        <v>2049</v>
      </c>
      <c r="AL25" s="62" t="s">
        <v>204</v>
      </c>
      <c r="AM25" s="62"/>
      <c r="AN25" s="108"/>
      <c r="AO25" s="102" t="s">
        <v>218</v>
      </c>
      <c r="AP25" s="102" t="s">
        <v>353</v>
      </c>
      <c r="AQ25" s="97">
        <f t="shared" si="5"/>
        <v>46093</v>
      </c>
      <c r="AR25" s="63">
        <f t="shared" si="6"/>
        <v>96484775</v>
      </c>
      <c r="AS25" s="64" t="str">
        <f t="shared" si="7"/>
        <v>MI NEGOCIO EFECTIVO-MI NEGOCIO EFECTIVO</v>
      </c>
      <c r="AU25" s="112"/>
      <c r="AV25" s="113"/>
      <c r="AW25" s="113"/>
      <c r="AX25" s="113"/>
    </row>
    <row r="26" spans="1:50" ht="14.25" customHeight="1">
      <c r="A26" s="62">
        <v>39</v>
      </c>
      <c r="B26" s="62" t="s">
        <v>191</v>
      </c>
      <c r="C26" s="62" t="s">
        <v>192</v>
      </c>
      <c r="D26" s="97">
        <v>46081</v>
      </c>
      <c r="E26" s="62">
        <v>2051</v>
      </c>
      <c r="F26" s="62" t="s">
        <v>406</v>
      </c>
      <c r="G26" s="62" t="s">
        <v>407</v>
      </c>
      <c r="H26" s="62" t="s">
        <v>408</v>
      </c>
      <c r="I26" s="64" t="s">
        <v>409</v>
      </c>
      <c r="J26" s="62" t="s">
        <v>196</v>
      </c>
      <c r="K26" s="62">
        <v>2023</v>
      </c>
      <c r="L26" s="62" t="s">
        <v>410</v>
      </c>
      <c r="M26" s="114" t="s">
        <v>411</v>
      </c>
      <c r="N26" s="114" t="s">
        <v>412</v>
      </c>
      <c r="O26" s="62" t="s">
        <v>413</v>
      </c>
      <c r="P26" s="62" t="s">
        <v>414</v>
      </c>
      <c r="Q26" s="62" t="s">
        <v>202</v>
      </c>
      <c r="R26" s="62" t="s">
        <v>203</v>
      </c>
      <c r="S26" s="62"/>
      <c r="T26" s="62"/>
      <c r="U26" s="62" t="s">
        <v>271</v>
      </c>
      <c r="V26" s="97">
        <v>46101</v>
      </c>
      <c r="W26" s="62" t="s">
        <v>415</v>
      </c>
      <c r="X26" s="62" t="s">
        <v>350</v>
      </c>
      <c r="Y26" s="62" t="str">
        <f t="shared" si="9"/>
        <v>VILATUÑA PINTO LIVIA MARUJA</v>
      </c>
      <c r="Z26" s="114">
        <v>1704123031</v>
      </c>
      <c r="AA26" s="62">
        <v>96678325</v>
      </c>
      <c r="AB26" s="62" t="s">
        <v>216</v>
      </c>
      <c r="AC26" s="62">
        <f t="shared" si="0"/>
        <v>21</v>
      </c>
      <c r="AD26" s="98">
        <f t="shared" si="8"/>
        <v>9</v>
      </c>
      <c r="AE26" s="99">
        <f t="shared" si="1"/>
        <v>189</v>
      </c>
      <c r="AF26" s="98">
        <f t="shared" si="2"/>
        <v>96678325</v>
      </c>
      <c r="AG26" s="100">
        <v>46101</v>
      </c>
      <c r="AH26" s="63">
        <v>202603206199420</v>
      </c>
      <c r="AI26" s="101" t="s">
        <v>233</v>
      </c>
      <c r="AJ26" s="64" t="str">
        <f t="shared" si="3"/>
        <v>BANCO DEL PACIFICO</v>
      </c>
      <c r="AK26" s="62">
        <f t="shared" si="4"/>
        <v>2051</v>
      </c>
      <c r="AL26" s="62" t="s">
        <v>230</v>
      </c>
      <c r="AM26" s="62"/>
      <c r="AN26" s="62"/>
      <c r="AO26" s="102" t="s">
        <v>218</v>
      </c>
      <c r="AP26" s="102" t="s">
        <v>385</v>
      </c>
      <c r="AQ26" s="97">
        <f t="shared" si="5"/>
        <v>46101</v>
      </c>
      <c r="AR26" s="63">
        <f t="shared" si="6"/>
        <v>202603206199420</v>
      </c>
      <c r="AS26" s="64" t="str">
        <f t="shared" si="7"/>
        <v>BANCO DEL PACIFICO</v>
      </c>
    </row>
    <row r="27" spans="1:50" ht="14.25" customHeight="1">
      <c r="A27" s="62">
        <v>40</v>
      </c>
      <c r="B27" s="62" t="s">
        <v>191</v>
      </c>
      <c r="C27" s="62" t="s">
        <v>192</v>
      </c>
      <c r="D27" s="97">
        <v>46087</v>
      </c>
      <c r="E27" s="62">
        <v>2052</v>
      </c>
      <c r="F27" s="62" t="s">
        <v>416</v>
      </c>
      <c r="G27" s="62" t="s">
        <v>303</v>
      </c>
      <c r="H27" s="62" t="s">
        <v>304</v>
      </c>
      <c r="I27" s="64" t="s">
        <v>417</v>
      </c>
      <c r="J27" s="62" t="s">
        <v>224</v>
      </c>
      <c r="K27" s="62">
        <v>2022</v>
      </c>
      <c r="L27" s="62" t="s">
        <v>418</v>
      </c>
      <c r="M27" s="114">
        <v>79657554</v>
      </c>
      <c r="N27" s="114" t="s">
        <v>419</v>
      </c>
      <c r="O27" s="62" t="s">
        <v>420</v>
      </c>
      <c r="P27" s="62" t="s">
        <v>421</v>
      </c>
      <c r="Q27" s="62" t="s">
        <v>202</v>
      </c>
      <c r="R27" s="62" t="s">
        <v>203</v>
      </c>
      <c r="S27" s="62"/>
      <c r="T27" s="62"/>
      <c r="U27" s="62" t="s">
        <v>422</v>
      </c>
      <c r="V27" s="97">
        <v>46093</v>
      </c>
      <c r="W27" s="62" t="s">
        <v>423</v>
      </c>
      <c r="X27" s="62" t="s">
        <v>350</v>
      </c>
      <c r="Y27" s="62" t="str">
        <f t="shared" si="9"/>
        <v>CHACON MOLINA PABLO ALFREDO</v>
      </c>
      <c r="Z27" s="114" t="s">
        <v>424</v>
      </c>
      <c r="AA27" s="98">
        <v>96482810</v>
      </c>
      <c r="AB27" s="62" t="s">
        <v>258</v>
      </c>
      <c r="AC27" s="62">
        <f t="shared" si="0"/>
        <v>7</v>
      </c>
      <c r="AD27" s="98">
        <f t="shared" si="8"/>
        <v>15</v>
      </c>
      <c r="AE27" s="99">
        <f t="shared" si="1"/>
        <v>105</v>
      </c>
      <c r="AF27" s="98">
        <f t="shared" si="2"/>
        <v>96482810</v>
      </c>
      <c r="AG27" s="100">
        <v>46093</v>
      </c>
      <c r="AH27" s="63">
        <v>202603122529220</v>
      </c>
      <c r="AI27" s="101" t="s">
        <v>233</v>
      </c>
      <c r="AJ27" s="64" t="str">
        <f t="shared" si="3"/>
        <v>BANCO DEL PACIFICO</v>
      </c>
      <c r="AK27" s="62">
        <f t="shared" si="4"/>
        <v>2052</v>
      </c>
      <c r="AL27" s="62" t="s">
        <v>204</v>
      </c>
      <c r="AM27" s="62"/>
      <c r="AN27" s="108"/>
      <c r="AO27" s="102" t="s">
        <v>218</v>
      </c>
      <c r="AP27" s="102" t="s">
        <v>425</v>
      </c>
      <c r="AQ27" s="97">
        <f t="shared" si="5"/>
        <v>46093</v>
      </c>
      <c r="AR27" s="63">
        <f t="shared" si="6"/>
        <v>202603122529220</v>
      </c>
      <c r="AS27" s="64" t="str">
        <f t="shared" si="7"/>
        <v>BANCO DEL PACIFICO</v>
      </c>
    </row>
    <row r="28" spans="1:50" ht="14.25" customHeight="1">
      <c r="A28" s="62">
        <v>41</v>
      </c>
      <c r="B28" s="62" t="s">
        <v>191</v>
      </c>
      <c r="C28" s="62" t="s">
        <v>192</v>
      </c>
      <c r="D28" s="97">
        <v>46091</v>
      </c>
      <c r="E28" s="62">
        <v>2053</v>
      </c>
      <c r="F28" s="62" t="s">
        <v>426</v>
      </c>
      <c r="G28" s="62" t="s">
        <v>236</v>
      </c>
      <c r="H28" s="62" t="s">
        <v>222</v>
      </c>
      <c r="I28" s="64" t="s">
        <v>251</v>
      </c>
      <c r="J28" s="62" t="s">
        <v>196</v>
      </c>
      <c r="K28" s="62">
        <v>2022</v>
      </c>
      <c r="L28" s="62" t="s">
        <v>427</v>
      </c>
      <c r="M28" s="114" t="s">
        <v>428</v>
      </c>
      <c r="N28" s="114" t="s">
        <v>429</v>
      </c>
      <c r="O28" s="62" t="s">
        <v>359</v>
      </c>
      <c r="P28" s="62" t="s">
        <v>430</v>
      </c>
      <c r="Q28" s="62" t="s">
        <v>202</v>
      </c>
      <c r="R28" s="62" t="s">
        <v>203</v>
      </c>
      <c r="U28" s="62" t="s">
        <v>230</v>
      </c>
      <c r="V28" s="97">
        <v>46093</v>
      </c>
      <c r="W28" s="62" t="s">
        <v>431</v>
      </c>
      <c r="X28" s="62" t="s">
        <v>322</v>
      </c>
      <c r="Y28" s="62" t="str">
        <f t="shared" si="9"/>
        <v>MONTERO PINOS EDUARDO ANGEL</v>
      </c>
      <c r="Z28" s="114">
        <v>1500421878</v>
      </c>
      <c r="AA28" s="62">
        <v>96499759</v>
      </c>
      <c r="AB28" s="62" t="s">
        <v>258</v>
      </c>
      <c r="AC28" s="62">
        <f t="shared" si="0"/>
        <v>3</v>
      </c>
      <c r="AD28" s="98">
        <f t="shared" si="8"/>
        <v>15</v>
      </c>
      <c r="AE28" s="99">
        <f t="shared" si="1"/>
        <v>45</v>
      </c>
      <c r="AF28" s="98">
        <f t="shared" si="2"/>
        <v>96499759</v>
      </c>
      <c r="AG28" s="100">
        <v>46093</v>
      </c>
      <c r="AH28" s="63">
        <v>96499759</v>
      </c>
      <c r="AI28" s="101" t="s">
        <v>217</v>
      </c>
      <c r="AJ28" s="64" t="str">
        <f t="shared" si="3"/>
        <v>MI NEGOCIO EFECTIVO-MI VECINO BANCO PICHINCHA-MI NEGOCIO EFECTIVO</v>
      </c>
      <c r="AK28" s="62">
        <f t="shared" si="4"/>
        <v>2053</v>
      </c>
      <c r="AL28" s="62" t="s">
        <v>204</v>
      </c>
      <c r="AM28" s="62"/>
      <c r="AN28" s="108"/>
      <c r="AO28" s="102" t="s">
        <v>218</v>
      </c>
      <c r="AP28" s="102" t="s">
        <v>432</v>
      </c>
      <c r="AQ28" s="97">
        <f t="shared" si="5"/>
        <v>46093</v>
      </c>
      <c r="AR28" s="63">
        <f t="shared" si="6"/>
        <v>96499759</v>
      </c>
      <c r="AS28" s="64" t="str">
        <f t="shared" si="7"/>
        <v>MI NEGOCIO EFECTIVO-MI VECINO BANCO PICHINCHA-MI NEGOCIO EFECTIVO</v>
      </c>
      <c r="AT28" s="103"/>
      <c r="AU28" s="103"/>
      <c r="AV28" s="103"/>
      <c r="AW28" s="103"/>
      <c r="AX28" s="103"/>
    </row>
    <row r="29" spans="1:50" ht="15" customHeight="1">
      <c r="A29" s="62">
        <v>42</v>
      </c>
      <c r="B29" s="62" t="s">
        <v>191</v>
      </c>
      <c r="C29" s="62" t="s">
        <v>192</v>
      </c>
      <c r="D29" s="97">
        <v>46094</v>
      </c>
      <c r="E29" s="62">
        <v>2054</v>
      </c>
      <c r="F29" s="62" t="s">
        <v>433</v>
      </c>
      <c r="G29" s="62" t="s">
        <v>328</v>
      </c>
      <c r="H29" s="62" t="s">
        <v>274</v>
      </c>
      <c r="I29" s="64" t="s">
        <v>434</v>
      </c>
      <c r="J29" s="62" t="s">
        <v>209</v>
      </c>
      <c r="K29" s="62">
        <v>2026</v>
      </c>
      <c r="L29" s="62" t="s">
        <v>435</v>
      </c>
      <c r="M29" s="114" t="s">
        <v>436</v>
      </c>
      <c r="N29" s="114" t="s">
        <v>437</v>
      </c>
      <c r="O29" s="62" t="s">
        <v>333</v>
      </c>
      <c r="P29" s="62" t="s">
        <v>438</v>
      </c>
      <c r="Q29" s="62" t="s">
        <v>202</v>
      </c>
      <c r="R29" s="62" t="s">
        <v>203</v>
      </c>
      <c r="S29" s="62"/>
      <c r="T29" s="62"/>
      <c r="U29" s="62" t="s">
        <v>204</v>
      </c>
      <c r="V29" s="97">
        <v>46100</v>
      </c>
      <c r="W29" s="62" t="s">
        <v>439</v>
      </c>
      <c r="X29" s="62" t="s">
        <v>350</v>
      </c>
      <c r="Y29" s="62" t="str">
        <f t="shared" si="9"/>
        <v>CHINGAL ZUÑIGA DALY VANESSA</v>
      </c>
      <c r="Z29" s="114">
        <v>1758756249</v>
      </c>
      <c r="AA29" s="62">
        <v>96656269</v>
      </c>
      <c r="AB29" s="62" t="s">
        <v>216</v>
      </c>
      <c r="AC29" s="62">
        <f t="shared" si="0"/>
        <v>7</v>
      </c>
      <c r="AD29" s="98">
        <f t="shared" si="8"/>
        <v>9</v>
      </c>
      <c r="AE29" s="99">
        <f t="shared" si="1"/>
        <v>63</v>
      </c>
      <c r="AF29" s="98">
        <f t="shared" si="2"/>
        <v>96656269</v>
      </c>
      <c r="AG29" s="100">
        <v>46100</v>
      </c>
      <c r="AH29" s="63">
        <v>202603199742220</v>
      </c>
      <c r="AI29" s="101" t="s">
        <v>233</v>
      </c>
      <c r="AJ29" s="64" t="str">
        <f t="shared" si="3"/>
        <v>BANCO DEL PACIFICO</v>
      </c>
      <c r="AK29" s="62">
        <f t="shared" si="4"/>
        <v>2054</v>
      </c>
      <c r="AL29" s="62" t="s">
        <v>230</v>
      </c>
      <c r="AM29" s="62"/>
      <c r="AN29" s="108"/>
      <c r="AO29" s="102" t="s">
        <v>218</v>
      </c>
      <c r="AP29" s="102" t="s">
        <v>440</v>
      </c>
      <c r="AQ29" s="97">
        <f t="shared" si="5"/>
        <v>46100</v>
      </c>
      <c r="AR29" s="63">
        <f t="shared" si="6"/>
        <v>202603199742220</v>
      </c>
      <c r="AS29" s="64" t="str">
        <f t="shared" si="7"/>
        <v>BANCO DEL PACIFICO</v>
      </c>
      <c r="AT29" s="103"/>
      <c r="AU29" s="103"/>
      <c r="AV29" s="103"/>
      <c r="AW29" s="103"/>
      <c r="AX29" s="103"/>
    </row>
    <row r="30" spans="1:50" ht="15" customHeight="1">
      <c r="A30" s="62">
        <v>43</v>
      </c>
      <c r="B30" s="62" t="s">
        <v>191</v>
      </c>
      <c r="C30" s="62" t="s">
        <v>192</v>
      </c>
      <c r="D30" s="97">
        <v>46094</v>
      </c>
      <c r="E30" s="62">
        <v>2055</v>
      </c>
      <c r="F30" s="62" t="s">
        <v>441</v>
      </c>
      <c r="G30" s="62" t="s">
        <v>303</v>
      </c>
      <c r="H30" s="62" t="s">
        <v>304</v>
      </c>
      <c r="I30" s="64" t="s">
        <v>442</v>
      </c>
      <c r="J30" s="62" t="s">
        <v>196</v>
      </c>
      <c r="K30" s="62">
        <v>2023</v>
      </c>
      <c r="L30" s="62" t="s">
        <v>443</v>
      </c>
      <c r="M30" s="114">
        <v>80414982</v>
      </c>
      <c r="N30" s="114" t="s">
        <v>437</v>
      </c>
      <c r="O30" s="62" t="s">
        <v>333</v>
      </c>
      <c r="P30" s="62" t="s">
        <v>308</v>
      </c>
      <c r="Q30" s="62" t="s">
        <v>202</v>
      </c>
      <c r="R30" s="62" t="s">
        <v>203</v>
      </c>
      <c r="S30" s="62"/>
      <c r="T30" s="62"/>
      <c r="U30" s="62" t="s">
        <v>230</v>
      </c>
      <c r="V30" s="97">
        <v>46100</v>
      </c>
      <c r="W30" s="62" t="s">
        <v>444</v>
      </c>
      <c r="X30" s="62" t="s">
        <v>350</v>
      </c>
      <c r="Y30" s="62" t="str">
        <f t="shared" si="9"/>
        <v>PERALVO GARCIA MARCO VINIVIO</v>
      </c>
      <c r="Z30" s="114">
        <v>1716186547</v>
      </c>
      <c r="AA30" s="62">
        <v>96668135</v>
      </c>
      <c r="AB30" s="62" t="s">
        <v>258</v>
      </c>
      <c r="AC30" s="62">
        <f t="shared" si="0"/>
        <v>7</v>
      </c>
      <c r="AD30" s="98">
        <f t="shared" si="8"/>
        <v>15</v>
      </c>
      <c r="AE30" s="99">
        <f t="shared" si="1"/>
        <v>105</v>
      </c>
      <c r="AF30" s="98">
        <f t="shared" si="2"/>
        <v>96668135</v>
      </c>
      <c r="AG30" s="100">
        <v>46100</v>
      </c>
      <c r="AH30" s="63" t="s">
        <v>445</v>
      </c>
      <c r="AI30" s="101" t="s">
        <v>445</v>
      </c>
      <c r="AJ30" s="64" t="str">
        <f t="shared" si="3"/>
        <v>NO LEGIBLE</v>
      </c>
      <c r="AK30" s="62">
        <f t="shared" si="4"/>
        <v>2055</v>
      </c>
      <c r="AL30" s="62" t="s">
        <v>230</v>
      </c>
      <c r="AM30" s="62"/>
      <c r="AN30" s="108"/>
      <c r="AO30" s="102" t="s">
        <v>218</v>
      </c>
      <c r="AP30" s="102" t="s">
        <v>440</v>
      </c>
      <c r="AQ30" s="97">
        <f t="shared" si="5"/>
        <v>46100</v>
      </c>
      <c r="AR30" s="63" t="str">
        <f t="shared" si="6"/>
        <v>NO LEGIBLE</v>
      </c>
      <c r="AS30" s="64" t="str">
        <f t="shared" si="7"/>
        <v>NO LEGIBLE</v>
      </c>
      <c r="AT30" s="103"/>
      <c r="AU30" s="103"/>
      <c r="AV30" s="103"/>
      <c r="AW30" s="103"/>
      <c r="AX30" s="103"/>
    </row>
    <row r="31" spans="1:50" ht="14.25" customHeight="1">
      <c r="A31" s="62">
        <v>44</v>
      </c>
      <c r="B31" s="62" t="s">
        <v>191</v>
      </c>
      <c r="C31" s="62" t="s">
        <v>192</v>
      </c>
      <c r="D31" s="97">
        <v>46095</v>
      </c>
      <c r="E31" s="62">
        <v>2056</v>
      </c>
      <c r="F31" s="62" t="s">
        <v>446</v>
      </c>
      <c r="G31" s="62" t="s">
        <v>236</v>
      </c>
      <c r="H31" s="62" t="s">
        <v>222</v>
      </c>
      <c r="I31" s="64" t="s">
        <v>251</v>
      </c>
      <c r="J31" s="62" t="s">
        <v>447</v>
      </c>
      <c r="K31" s="62">
        <v>2025</v>
      </c>
      <c r="L31" s="62" t="s">
        <v>448</v>
      </c>
      <c r="M31" s="114" t="s">
        <v>449</v>
      </c>
      <c r="N31" s="114" t="s">
        <v>450</v>
      </c>
      <c r="O31" s="62" t="s">
        <v>451</v>
      </c>
      <c r="P31" s="62" t="s">
        <v>452</v>
      </c>
      <c r="Q31" s="62" t="s">
        <v>202</v>
      </c>
      <c r="R31" s="62" t="s">
        <v>203</v>
      </c>
      <c r="S31" s="62"/>
      <c r="T31" s="62"/>
      <c r="U31" s="62" t="s">
        <v>204</v>
      </c>
      <c r="V31" s="97">
        <v>46101</v>
      </c>
      <c r="W31" s="62" t="s">
        <v>453</v>
      </c>
      <c r="X31" s="62" t="s">
        <v>350</v>
      </c>
      <c r="Y31" s="62" t="str">
        <f t="shared" si="9"/>
        <v>HARO OÑATE MARTHA CECILIA</v>
      </c>
      <c r="Z31" s="114" t="s">
        <v>454</v>
      </c>
      <c r="AA31" s="62">
        <v>96698265</v>
      </c>
      <c r="AB31" s="62" t="s">
        <v>258</v>
      </c>
      <c r="AC31" s="62">
        <f t="shared" si="0"/>
        <v>7</v>
      </c>
      <c r="AD31" s="98">
        <f t="shared" si="8"/>
        <v>15</v>
      </c>
      <c r="AE31" s="99">
        <f t="shared" si="1"/>
        <v>105</v>
      </c>
      <c r="AF31" s="98">
        <f t="shared" si="2"/>
        <v>96698265</v>
      </c>
      <c r="AG31" s="100">
        <v>46101</v>
      </c>
      <c r="AH31" s="63">
        <v>96698265</v>
      </c>
      <c r="AI31" s="101" t="s">
        <v>217</v>
      </c>
      <c r="AJ31" s="64" t="str">
        <f t="shared" si="3"/>
        <v>MI NEGOCIO EFECTIVO-MI VECINO BANCO PICHINCHA-MI NEGOCIO EFECTIVO</v>
      </c>
      <c r="AK31" s="62">
        <f t="shared" si="4"/>
        <v>2056</v>
      </c>
      <c r="AL31" s="62" t="s">
        <v>230</v>
      </c>
      <c r="AM31" s="62"/>
      <c r="AN31" s="108"/>
      <c r="AO31" s="102" t="s">
        <v>218</v>
      </c>
      <c r="AP31" s="102" t="s">
        <v>432</v>
      </c>
      <c r="AQ31" s="97">
        <f t="shared" si="5"/>
        <v>46101</v>
      </c>
      <c r="AR31" s="63">
        <f t="shared" si="6"/>
        <v>96698265</v>
      </c>
      <c r="AS31" s="64" t="str">
        <f t="shared" si="7"/>
        <v>MI NEGOCIO EFECTIVO-MI VECINO BANCO PICHINCHA-MI NEGOCIO EFECTIVO</v>
      </c>
      <c r="AT31" s="103"/>
      <c r="AU31" s="103"/>
      <c r="AV31" s="103"/>
      <c r="AW31" s="103"/>
      <c r="AX31" s="103"/>
    </row>
    <row r="32" spans="1:50" ht="15" customHeight="1">
      <c r="A32" s="62">
        <v>29</v>
      </c>
      <c r="B32" s="62" t="s">
        <v>191</v>
      </c>
      <c r="C32" s="62" t="s">
        <v>192</v>
      </c>
      <c r="D32" s="97">
        <v>46098</v>
      </c>
      <c r="E32" s="62">
        <v>2057</v>
      </c>
      <c r="F32" s="62" t="s">
        <v>455</v>
      </c>
      <c r="G32" s="62" t="s">
        <v>456</v>
      </c>
      <c r="H32" s="62" t="s">
        <v>355</v>
      </c>
      <c r="I32" s="64" t="s">
        <v>457</v>
      </c>
      <c r="J32" s="62" t="s">
        <v>458</v>
      </c>
      <c r="K32" s="62">
        <v>2024</v>
      </c>
      <c r="L32" s="62" t="s">
        <v>459</v>
      </c>
      <c r="M32" s="224" t="s">
        <v>460</v>
      </c>
      <c r="N32" s="114" t="s">
        <v>461</v>
      </c>
      <c r="O32" s="62" t="s">
        <v>333</v>
      </c>
      <c r="P32" s="62" t="s">
        <v>462</v>
      </c>
      <c r="Q32" s="62" t="s">
        <v>202</v>
      </c>
      <c r="R32" s="62" t="s">
        <v>203</v>
      </c>
      <c r="S32" s="62"/>
      <c r="T32" s="62"/>
      <c r="U32" s="62" t="s">
        <v>230</v>
      </c>
      <c r="V32" s="97">
        <v>46108</v>
      </c>
      <c r="W32" s="62" t="s">
        <v>463</v>
      </c>
      <c r="X32" s="62" t="s">
        <v>394</v>
      </c>
      <c r="Y32" s="62" t="str">
        <f t="shared" si="9"/>
        <v>AGILA LALANGUI OLGA ISABEL</v>
      </c>
      <c r="Z32" s="114" t="s">
        <v>464</v>
      </c>
      <c r="AA32" s="62">
        <v>96859148</v>
      </c>
      <c r="AB32" s="62" t="s">
        <v>247</v>
      </c>
      <c r="AC32" s="62">
        <f t="shared" si="0"/>
        <v>11</v>
      </c>
      <c r="AD32" s="98">
        <v>15</v>
      </c>
      <c r="AE32" s="99">
        <f t="shared" si="1"/>
        <v>165</v>
      </c>
      <c r="AF32" s="98">
        <f t="shared" si="2"/>
        <v>96859148</v>
      </c>
      <c r="AG32" s="100">
        <v>46108</v>
      </c>
      <c r="AH32" s="107" t="s">
        <v>465</v>
      </c>
      <c r="AI32" s="64" t="s">
        <v>466</v>
      </c>
      <c r="AJ32" s="64" t="str">
        <f t="shared" si="3"/>
        <v>BANCO PICHINCHA - MI NEGOCIO EFECTIVO</v>
      </c>
      <c r="AK32" s="62">
        <f t="shared" si="4"/>
        <v>2057</v>
      </c>
      <c r="AL32" s="62" t="s">
        <v>204</v>
      </c>
      <c r="AM32" s="62"/>
      <c r="AN32" s="108"/>
      <c r="AO32" s="102" t="s">
        <v>218</v>
      </c>
      <c r="AP32" s="102" t="s">
        <v>313</v>
      </c>
      <c r="AQ32" s="97">
        <f t="shared" si="5"/>
        <v>46108</v>
      </c>
      <c r="AR32" s="63" t="str">
        <f t="shared" si="6"/>
        <v>021238</v>
      </c>
      <c r="AS32" s="64" t="str">
        <f t="shared" si="7"/>
        <v>BANCO PICHINCHA - MI NEGOCIO EFECTIVO</v>
      </c>
      <c r="AT32" s="103"/>
      <c r="AU32" s="103"/>
      <c r="AV32" s="103"/>
      <c r="AW32" s="103"/>
      <c r="AX32" s="103"/>
    </row>
    <row r="33" spans="1:50" ht="15" customHeight="1">
      <c r="A33" s="62">
        <v>45</v>
      </c>
      <c r="B33" s="62" t="s">
        <v>191</v>
      </c>
      <c r="C33" s="62" t="s">
        <v>192</v>
      </c>
      <c r="D33" s="97">
        <v>46098</v>
      </c>
      <c r="E33" s="62">
        <v>2060</v>
      </c>
      <c r="F33" s="62" t="s">
        <v>467</v>
      </c>
      <c r="G33" s="62" t="s">
        <v>236</v>
      </c>
      <c r="H33" s="62" t="s">
        <v>274</v>
      </c>
      <c r="I33" s="64" t="s">
        <v>468</v>
      </c>
      <c r="J33" s="62" t="s">
        <v>209</v>
      </c>
      <c r="K33" s="62">
        <v>2023</v>
      </c>
      <c r="L33" s="62" t="s">
        <v>469</v>
      </c>
      <c r="M33" s="224" t="s">
        <v>470</v>
      </c>
      <c r="N33" s="114" t="s">
        <v>471</v>
      </c>
      <c r="O33" s="62" t="s">
        <v>472</v>
      </c>
      <c r="P33" s="62" t="s">
        <v>473</v>
      </c>
      <c r="Q33" s="62" t="s">
        <v>202</v>
      </c>
      <c r="R33" s="62" t="s">
        <v>203</v>
      </c>
      <c r="S33" s="62"/>
      <c r="T33" s="62"/>
      <c r="U33" s="62" t="s">
        <v>230</v>
      </c>
      <c r="V33" s="97">
        <v>46113</v>
      </c>
      <c r="W33" s="62" t="s">
        <v>474</v>
      </c>
      <c r="X33" s="62" t="s">
        <v>350</v>
      </c>
      <c r="Y33" s="62" t="str">
        <f t="shared" si="9"/>
        <v>MURILLO VELAZQUEZ STALIN LEONEL</v>
      </c>
      <c r="Z33" s="114">
        <v>2350595589</v>
      </c>
      <c r="AA33" s="62">
        <v>96937060</v>
      </c>
      <c r="AB33" s="62" t="s">
        <v>216</v>
      </c>
      <c r="AC33" s="62">
        <f t="shared" si="0"/>
        <v>16</v>
      </c>
      <c r="AD33" s="98">
        <f>IF(AB33="SERVICIO DE GARAJE LIVIANOS (HASTA 3,5 TN A EXCEPCIÓN DE MOTOCICLETAS) (DIARIOS)",3,IF(AB33="SERVICIO DE GARAJE PESADOS (DE 3,51 TN HASTA 12 TN) (DIARIOS)",9,IF(AB33="SERVICIO DE GARAJE (CENTROS DE RETENCIÓN) MOTOCICLETA",1,IF(AB33="SERVICIO DE GARAJE EXTRA PESADOS (MÁS DE 12 TN) (DIARIOS)",15,0))))</f>
        <v>9</v>
      </c>
      <c r="AE33" s="99">
        <f t="shared" si="1"/>
        <v>144</v>
      </c>
      <c r="AF33" s="98">
        <f t="shared" si="2"/>
        <v>96937060</v>
      </c>
      <c r="AG33" s="100">
        <v>46113</v>
      </c>
      <c r="AH33" s="63">
        <v>3263695</v>
      </c>
      <c r="AI33" s="101" t="s">
        <v>233</v>
      </c>
      <c r="AJ33" s="64" t="str">
        <f t="shared" si="3"/>
        <v>BANCO DEL PACIFICO</v>
      </c>
      <c r="AK33" s="62">
        <f t="shared" si="4"/>
        <v>2060</v>
      </c>
      <c r="AL33" s="62" t="s">
        <v>204</v>
      </c>
      <c r="AM33" s="62"/>
      <c r="AN33" s="62"/>
      <c r="AO33" s="102" t="s">
        <v>218</v>
      </c>
      <c r="AP33" s="102" t="s">
        <v>234</v>
      </c>
      <c r="AQ33" s="97">
        <f t="shared" si="5"/>
        <v>46113</v>
      </c>
      <c r="AR33" s="63">
        <f t="shared" si="6"/>
        <v>3263695</v>
      </c>
      <c r="AS33" s="64" t="str">
        <f t="shared" si="7"/>
        <v>BANCO DEL PACIFICO</v>
      </c>
      <c r="AT33" s="103"/>
      <c r="AU33" s="103"/>
      <c r="AV33" s="103"/>
      <c r="AW33" s="103"/>
      <c r="AX33" s="103"/>
    </row>
    <row r="34" spans="1:50" ht="14.25" customHeight="1">
      <c r="A34" s="62">
        <v>16</v>
      </c>
      <c r="B34" s="62" t="s">
        <v>191</v>
      </c>
      <c r="C34" s="62" t="s">
        <v>192</v>
      </c>
      <c r="D34" s="97">
        <v>46103</v>
      </c>
      <c r="E34" s="62">
        <v>2058</v>
      </c>
      <c r="F34" s="62" t="s">
        <v>475</v>
      </c>
      <c r="G34" s="62" t="s">
        <v>476</v>
      </c>
      <c r="H34" s="62" t="s">
        <v>304</v>
      </c>
      <c r="I34" s="64" t="s">
        <v>477</v>
      </c>
      <c r="J34" s="62" t="s">
        <v>478</v>
      </c>
      <c r="K34" s="62">
        <v>2012</v>
      </c>
      <c r="L34" s="62" t="s">
        <v>479</v>
      </c>
      <c r="M34" s="114">
        <v>79529239</v>
      </c>
      <c r="N34" s="114" t="s">
        <v>480</v>
      </c>
      <c r="O34" s="62" t="s">
        <v>287</v>
      </c>
      <c r="P34" s="62" t="s">
        <v>481</v>
      </c>
      <c r="Q34" s="62" t="s">
        <v>202</v>
      </c>
      <c r="R34" s="62" t="s">
        <v>203</v>
      </c>
      <c r="S34" s="62" t="s">
        <v>9</v>
      </c>
      <c r="T34" s="62" t="s">
        <v>9</v>
      </c>
      <c r="U34" s="62" t="s">
        <v>230</v>
      </c>
      <c r="V34" s="97">
        <v>46113</v>
      </c>
      <c r="W34" s="62" t="s">
        <v>482</v>
      </c>
      <c r="X34" s="62" t="s">
        <v>290</v>
      </c>
      <c r="Y34" s="62" t="s">
        <v>481</v>
      </c>
      <c r="Z34" s="114" t="s">
        <v>483</v>
      </c>
      <c r="AA34" s="62">
        <v>96956780</v>
      </c>
      <c r="AB34" s="62" t="s">
        <v>247</v>
      </c>
      <c r="AC34" s="62">
        <f t="shared" si="0"/>
        <v>11</v>
      </c>
      <c r="AD34" s="98">
        <v>15</v>
      </c>
      <c r="AE34" s="99">
        <f t="shared" si="1"/>
        <v>165</v>
      </c>
      <c r="AF34" s="98">
        <f t="shared" si="2"/>
        <v>96956780</v>
      </c>
      <c r="AG34" s="100">
        <v>46113</v>
      </c>
      <c r="AH34" s="63">
        <v>17427986</v>
      </c>
      <c r="AI34" s="101" t="s">
        <v>248</v>
      </c>
      <c r="AJ34" s="64" t="str">
        <f t="shared" si="3"/>
        <v>MI NEGOCIO EFECTIVO</v>
      </c>
      <c r="AK34" s="62">
        <f t="shared" si="4"/>
        <v>2058</v>
      </c>
      <c r="AL34" s="62" t="s">
        <v>204</v>
      </c>
      <c r="AM34" s="62" t="s">
        <v>9</v>
      </c>
      <c r="AN34" s="62" t="s">
        <v>9</v>
      </c>
      <c r="AO34" s="102" t="s">
        <v>218</v>
      </c>
      <c r="AP34" s="64" t="s">
        <v>484</v>
      </c>
      <c r="AQ34" s="97">
        <f t="shared" si="5"/>
        <v>46113</v>
      </c>
      <c r="AR34" s="63">
        <f t="shared" si="6"/>
        <v>17427986</v>
      </c>
      <c r="AS34" s="64" t="str">
        <f t="shared" si="7"/>
        <v>MI NEGOCIO EFECTIVO</v>
      </c>
      <c r="AT34" s="103"/>
      <c r="AU34" s="103"/>
      <c r="AV34" s="103"/>
      <c r="AW34" s="103"/>
      <c r="AX34" s="103"/>
    </row>
    <row r="35" spans="1:50" ht="14.25" customHeight="1">
      <c r="A35" s="62">
        <v>14</v>
      </c>
      <c r="B35" s="62" t="s">
        <v>191</v>
      </c>
      <c r="C35" s="62" t="s">
        <v>192</v>
      </c>
      <c r="D35" s="97">
        <v>46103</v>
      </c>
      <c r="E35" s="62">
        <v>2059</v>
      </c>
      <c r="F35" s="62" t="s">
        <v>485</v>
      </c>
      <c r="G35" s="62" t="s">
        <v>328</v>
      </c>
      <c r="H35" s="62" t="s">
        <v>294</v>
      </c>
      <c r="I35" s="64" t="s">
        <v>486</v>
      </c>
      <c r="J35" s="62" t="s">
        <v>478</v>
      </c>
      <c r="K35" s="62">
        <v>2003</v>
      </c>
      <c r="L35" s="62" t="s">
        <v>487</v>
      </c>
      <c r="M35" s="114" t="s">
        <v>488</v>
      </c>
      <c r="N35" s="114" t="s">
        <v>489</v>
      </c>
      <c r="O35" s="62" t="s">
        <v>490</v>
      </c>
      <c r="P35" s="62" t="s">
        <v>491</v>
      </c>
      <c r="Q35" s="62" t="s">
        <v>492</v>
      </c>
      <c r="R35" s="62" t="s">
        <v>493</v>
      </c>
      <c r="S35" s="114" t="s">
        <v>9</v>
      </c>
      <c r="T35" s="62" t="s">
        <v>9</v>
      </c>
      <c r="U35" s="62" t="s">
        <v>230</v>
      </c>
      <c r="V35" s="97">
        <v>46104</v>
      </c>
      <c r="W35" s="62" t="s">
        <v>9</v>
      </c>
      <c r="X35" s="62" t="s">
        <v>9</v>
      </c>
      <c r="Y35" s="62" t="s">
        <v>494</v>
      </c>
      <c r="Z35" s="114" t="s">
        <v>495</v>
      </c>
      <c r="AA35" s="62">
        <v>96734834</v>
      </c>
      <c r="AB35" s="62" t="s">
        <v>216</v>
      </c>
      <c r="AC35" s="62">
        <f t="shared" si="0"/>
        <v>2</v>
      </c>
      <c r="AD35" s="98">
        <v>9</v>
      </c>
      <c r="AE35" s="99">
        <f t="shared" si="1"/>
        <v>18</v>
      </c>
      <c r="AF35" s="98">
        <f t="shared" si="2"/>
        <v>96734834</v>
      </c>
      <c r="AG35" s="100">
        <v>46104</v>
      </c>
      <c r="AH35" s="63">
        <v>202603238895620</v>
      </c>
      <c r="AI35" s="64" t="s">
        <v>233</v>
      </c>
      <c r="AJ35" s="64" t="str">
        <f t="shared" si="3"/>
        <v>BANCO DEL PACIFICO</v>
      </c>
      <c r="AK35" s="62">
        <f t="shared" si="4"/>
        <v>2059</v>
      </c>
      <c r="AL35" s="62" t="s">
        <v>230</v>
      </c>
      <c r="AM35" s="62" t="s">
        <v>9</v>
      </c>
      <c r="AN35" s="108" t="s">
        <v>9</v>
      </c>
      <c r="AO35" s="102" t="s">
        <v>9</v>
      </c>
      <c r="AP35" s="64" t="s">
        <v>9</v>
      </c>
      <c r="AQ35" s="97">
        <f t="shared" si="5"/>
        <v>46104</v>
      </c>
      <c r="AR35" s="63">
        <f t="shared" si="6"/>
        <v>202603238895620</v>
      </c>
      <c r="AS35" s="64" t="str">
        <f t="shared" si="7"/>
        <v>BANCO DEL PACIFICO</v>
      </c>
      <c r="AT35" s="103"/>
      <c r="AU35" s="103"/>
      <c r="AV35" s="103"/>
      <c r="AW35" s="103"/>
      <c r="AX35" s="103"/>
    </row>
    <row r="36" spans="1:50" ht="14.25" customHeight="1">
      <c r="A36" s="85">
        <v>2</v>
      </c>
      <c r="B36" s="85" t="s">
        <v>191</v>
      </c>
      <c r="C36" s="85" t="s">
        <v>192</v>
      </c>
      <c r="D36" s="86">
        <v>46108</v>
      </c>
      <c r="E36" s="85">
        <v>2061</v>
      </c>
      <c r="F36" s="85" t="s">
        <v>496</v>
      </c>
      <c r="G36" s="85" t="s">
        <v>236</v>
      </c>
      <c r="H36" s="85"/>
      <c r="I36" s="115" t="s">
        <v>497</v>
      </c>
      <c r="J36" s="85" t="s">
        <v>209</v>
      </c>
      <c r="K36" s="85">
        <v>2002</v>
      </c>
      <c r="L36" s="85" t="s">
        <v>498</v>
      </c>
      <c r="M36" s="215" t="s">
        <v>499</v>
      </c>
      <c r="N36" s="215" t="s">
        <v>500</v>
      </c>
      <c r="O36" s="85" t="s">
        <v>501</v>
      </c>
      <c r="P36" s="85" t="s">
        <v>502</v>
      </c>
      <c r="Q36" s="85" t="s">
        <v>202</v>
      </c>
      <c r="R36" s="85" t="s">
        <v>203</v>
      </c>
      <c r="S36" s="85" t="s">
        <v>9</v>
      </c>
      <c r="T36" s="85" t="s">
        <v>9</v>
      </c>
      <c r="U36" s="85" t="s">
        <v>204</v>
      </c>
      <c r="V36" s="86"/>
      <c r="W36" s="85"/>
      <c r="X36" s="85"/>
      <c r="Y36" s="85"/>
      <c r="Z36" s="215"/>
      <c r="AA36" s="85"/>
      <c r="AB36" s="90"/>
      <c r="AC36" s="85">
        <f t="shared" si="0"/>
        <v>-46107</v>
      </c>
      <c r="AD36" s="89">
        <f>IF(AB36="SERVICIO DE GARAJE LIVIANOS (HASTA 3,5 TN A EXCEPCIÓN DE MOTOCICLETAS) (DIARIOS)",3,IF(AB36="SERVICIO DE GARAJE PESADOS (DE 3,51 TN HASTA 12 TN) (DIARIOS)",9,IF(AB36="SERVICIO DE GARAJE (CENTROS DE RETENCIÓN) MOTOCICLETA",1,IF(AB36="SERVICIO DE GARAJE EXTRA PESADOS (MÁS DE 12 TN) (DIARIOS)",15,0))))</f>
        <v>0</v>
      </c>
      <c r="AE36" s="91">
        <f t="shared" si="1"/>
        <v>0</v>
      </c>
      <c r="AF36" s="89">
        <f t="shared" si="2"/>
        <v>0</v>
      </c>
      <c r="AG36" s="92"/>
      <c r="AH36" s="93"/>
      <c r="AI36" s="94"/>
      <c r="AJ36" s="90" t="str">
        <f t="shared" si="3"/>
        <v/>
      </c>
      <c r="AK36" s="85">
        <f t="shared" si="4"/>
        <v>2061</v>
      </c>
      <c r="AL36" s="85"/>
      <c r="AM36" s="85" t="s">
        <v>9</v>
      </c>
      <c r="AN36" s="95" t="s">
        <v>9</v>
      </c>
      <c r="AO36" s="96"/>
      <c r="AP36" s="96"/>
      <c r="AQ36" s="86">
        <f t="shared" si="5"/>
        <v>0</v>
      </c>
      <c r="AR36" s="93">
        <f t="shared" si="6"/>
        <v>0</v>
      </c>
      <c r="AS36" s="90" t="str">
        <f t="shared" si="7"/>
        <v/>
      </c>
      <c r="AT36" s="116"/>
      <c r="AU36" s="103"/>
      <c r="AV36" s="103"/>
      <c r="AW36" s="103"/>
      <c r="AX36" s="103"/>
    </row>
    <row r="37" spans="1:50" ht="14.25" customHeight="1">
      <c r="A37" s="62">
        <v>3</v>
      </c>
      <c r="B37" s="62" t="s">
        <v>191</v>
      </c>
      <c r="C37" s="62" t="s">
        <v>192</v>
      </c>
      <c r="D37" s="97">
        <v>46109</v>
      </c>
      <c r="E37" s="62">
        <v>2062</v>
      </c>
      <c r="F37" s="62" t="s">
        <v>503</v>
      </c>
      <c r="G37" s="62" t="s">
        <v>315</v>
      </c>
      <c r="H37" s="62" t="s">
        <v>274</v>
      </c>
      <c r="I37" s="105" t="s">
        <v>504</v>
      </c>
      <c r="J37" s="62" t="s">
        <v>209</v>
      </c>
      <c r="K37" s="62">
        <v>2010</v>
      </c>
      <c r="L37" s="62" t="s">
        <v>505</v>
      </c>
      <c r="M37" s="114">
        <v>94011328</v>
      </c>
      <c r="N37" s="114" t="s">
        <v>506</v>
      </c>
      <c r="O37" s="62" t="s">
        <v>507</v>
      </c>
      <c r="P37" s="62" t="s">
        <v>508</v>
      </c>
      <c r="Q37" s="62" t="s">
        <v>202</v>
      </c>
      <c r="R37" s="62" t="s">
        <v>203</v>
      </c>
      <c r="S37" s="62" t="s">
        <v>9</v>
      </c>
      <c r="T37" s="62" t="s">
        <v>9</v>
      </c>
      <c r="U37" s="62" t="s">
        <v>271</v>
      </c>
      <c r="V37" s="97">
        <v>46156</v>
      </c>
      <c r="W37" s="62" t="s">
        <v>509</v>
      </c>
      <c r="X37" s="62" t="s">
        <v>510</v>
      </c>
      <c r="Y37" s="62" t="s">
        <v>511</v>
      </c>
      <c r="Z37" s="114" t="s">
        <v>512</v>
      </c>
      <c r="AB37" s="64" t="s">
        <v>513</v>
      </c>
      <c r="AC37" s="62">
        <f t="shared" si="0"/>
        <v>48</v>
      </c>
      <c r="AD37" s="98">
        <f>IF(AB37="SERVICIO DE GARAJE LIVIANOS (HASTA 3,5 TN A EXCEPCIÓN DE MOTOCICLETAS) (DIARIOS)",3,IF(AB37="SERVICIO DE GARAJE PESADOS (DE 3,51 TN HASTA 12 TN) (DIARIOS)",9,IF(AB37="SERVICIO DE GARAJE (CENTROS DE RETENCIÓN) MOTOCICLETA",1,IF(AB37="SERVICIO DE GARAJE EXTRA PESADOS (MÁS DE 12 TN) (DIARIOS)",15,0))))</f>
        <v>3</v>
      </c>
      <c r="AE37" s="99">
        <f t="shared" si="1"/>
        <v>144</v>
      </c>
      <c r="AF37" s="98">
        <f t="shared" si="2"/>
        <v>0</v>
      </c>
      <c r="AG37" s="100">
        <v>46156</v>
      </c>
      <c r="AH37" s="63">
        <v>98092628</v>
      </c>
      <c r="AI37" s="101" t="s">
        <v>514</v>
      </c>
      <c r="AJ37" s="64" t="str">
        <f t="shared" si="3"/>
        <v>SERVIPAGOS AGENTE</v>
      </c>
      <c r="AK37" s="62">
        <f t="shared" si="4"/>
        <v>2062</v>
      </c>
      <c r="AL37" s="62" t="s">
        <v>340</v>
      </c>
      <c r="AM37" s="62" t="s">
        <v>9</v>
      </c>
      <c r="AN37" s="108" t="s">
        <v>9</v>
      </c>
      <c r="AO37" s="102"/>
      <c r="AP37" s="102"/>
      <c r="AQ37" s="97">
        <f t="shared" si="5"/>
        <v>46156</v>
      </c>
      <c r="AR37" s="63">
        <f t="shared" si="6"/>
        <v>98092628</v>
      </c>
      <c r="AS37" s="64" t="str">
        <f t="shared" si="7"/>
        <v>SERVIPAGOS AGENTE</v>
      </c>
      <c r="AT37" s="103"/>
      <c r="AU37" s="103"/>
      <c r="AV37" s="103"/>
      <c r="AW37" s="103"/>
      <c r="AX37" s="103"/>
    </row>
    <row r="38" spans="1:50" ht="14.25" customHeight="1">
      <c r="A38" s="62">
        <v>15</v>
      </c>
      <c r="B38" s="62" t="s">
        <v>191</v>
      </c>
      <c r="C38" s="62" t="s">
        <v>192</v>
      </c>
      <c r="D38" s="97">
        <v>46109</v>
      </c>
      <c r="E38" s="62">
        <v>2063</v>
      </c>
      <c r="F38" s="62" t="s">
        <v>515</v>
      </c>
      <c r="G38" s="62" t="s">
        <v>236</v>
      </c>
      <c r="H38" s="62" t="s">
        <v>237</v>
      </c>
      <c r="I38" s="64" t="s">
        <v>516</v>
      </c>
      <c r="J38" s="62" t="s">
        <v>239</v>
      </c>
      <c r="K38" s="62">
        <v>2010</v>
      </c>
      <c r="L38" s="62" t="s">
        <v>225</v>
      </c>
      <c r="M38" s="114" t="s">
        <v>226</v>
      </c>
      <c r="N38" s="114" t="s">
        <v>506</v>
      </c>
      <c r="O38" s="62" t="s">
        <v>507</v>
      </c>
      <c r="P38" s="62" t="s">
        <v>517</v>
      </c>
      <c r="Q38" s="62" t="s">
        <v>518</v>
      </c>
      <c r="R38" s="62" t="s">
        <v>203</v>
      </c>
      <c r="S38" s="114" t="s">
        <v>9</v>
      </c>
      <c r="T38" s="62" t="s">
        <v>9</v>
      </c>
      <c r="U38" s="62" t="s">
        <v>271</v>
      </c>
      <c r="V38" s="97">
        <v>46121</v>
      </c>
      <c r="W38" s="62" t="s">
        <v>519</v>
      </c>
      <c r="X38" s="62" t="s">
        <v>300</v>
      </c>
      <c r="Y38" s="62" t="s">
        <v>520</v>
      </c>
      <c r="Z38" s="114" t="s">
        <v>521</v>
      </c>
      <c r="AA38" s="62">
        <v>97116636</v>
      </c>
      <c r="AB38" s="62" t="s">
        <v>247</v>
      </c>
      <c r="AC38" s="62">
        <f t="shared" si="0"/>
        <v>13</v>
      </c>
      <c r="AD38" s="98">
        <v>15</v>
      </c>
      <c r="AE38" s="99">
        <f t="shared" si="1"/>
        <v>195</v>
      </c>
      <c r="AF38" s="98">
        <f t="shared" si="2"/>
        <v>97116636</v>
      </c>
      <c r="AG38" s="100">
        <v>46121</v>
      </c>
      <c r="AH38" s="63">
        <v>17473943</v>
      </c>
      <c r="AI38" s="101" t="s">
        <v>248</v>
      </c>
      <c r="AJ38" s="64" t="str">
        <f t="shared" si="3"/>
        <v>MI NEGOCIO EFECTIVO</v>
      </c>
      <c r="AK38" s="62">
        <f t="shared" si="4"/>
        <v>2063</v>
      </c>
      <c r="AL38" s="62" t="s">
        <v>340</v>
      </c>
      <c r="AM38" s="62" t="s">
        <v>9</v>
      </c>
      <c r="AN38" s="108" t="s">
        <v>9</v>
      </c>
      <c r="AO38" s="102" t="s">
        <v>218</v>
      </c>
      <c r="AP38" s="64" t="s">
        <v>522</v>
      </c>
      <c r="AQ38" s="97">
        <f t="shared" si="5"/>
        <v>46121</v>
      </c>
      <c r="AR38" s="63">
        <f t="shared" si="6"/>
        <v>17473943</v>
      </c>
      <c r="AS38" s="64" t="str">
        <f t="shared" si="7"/>
        <v>MI NEGOCIO EFECTIVO</v>
      </c>
      <c r="AT38" s="103"/>
      <c r="AU38" s="103"/>
      <c r="AV38" s="103"/>
      <c r="AW38" s="103"/>
      <c r="AX38" s="103"/>
    </row>
    <row r="39" spans="1:50" ht="14.25" customHeight="1">
      <c r="A39" s="85">
        <v>4</v>
      </c>
      <c r="B39" s="85" t="s">
        <v>191</v>
      </c>
      <c r="C39" s="85" t="s">
        <v>192</v>
      </c>
      <c r="D39" s="86">
        <v>46116</v>
      </c>
      <c r="E39" s="85">
        <v>2064</v>
      </c>
      <c r="F39" s="85" t="s">
        <v>523</v>
      </c>
      <c r="G39" s="85" t="s">
        <v>236</v>
      </c>
      <c r="H39" s="85"/>
      <c r="I39" s="115" t="s">
        <v>524</v>
      </c>
      <c r="J39" s="85" t="s">
        <v>209</v>
      </c>
      <c r="K39" s="85">
        <v>2025</v>
      </c>
      <c r="L39" s="85" t="s">
        <v>525</v>
      </c>
      <c r="M39" s="215" t="s">
        <v>526</v>
      </c>
      <c r="N39" s="215"/>
      <c r="O39" s="85" t="s">
        <v>527</v>
      </c>
      <c r="P39" s="85" t="s">
        <v>528</v>
      </c>
      <c r="Q39" s="85" t="s">
        <v>492</v>
      </c>
      <c r="R39" s="85" t="s">
        <v>9</v>
      </c>
      <c r="S39" s="85" t="s">
        <v>9</v>
      </c>
      <c r="T39" s="85" t="s">
        <v>9</v>
      </c>
      <c r="U39" s="85" t="s">
        <v>529</v>
      </c>
      <c r="V39" s="86"/>
      <c r="W39" s="85"/>
      <c r="X39" s="85"/>
      <c r="Y39" s="85"/>
      <c r="Z39" s="215"/>
      <c r="AA39" s="85"/>
      <c r="AB39" s="90"/>
      <c r="AC39" s="85">
        <f t="shared" ref="AC39:AC70" si="10">(V39-D39)+1</f>
        <v>-46115</v>
      </c>
      <c r="AD39" s="89">
        <f>IF(AB39="SERVICIO DE GARAJE LIVIANOS (HASTA 3,5 TN A EXCEPCIÓN DE MOTOCICLETAS) (DIARIOS)",3,IF(AB39="SERVICIO DE GARAJE PESADOS (DE 3,51 TN HASTA 12 TN) (DIARIOS)",9,IF(AB39="SERVICIO DE GARAJE (CENTROS DE RETENCIÓN) MOTOCICLETA",1,IF(AB39="SERVICIO DE GARAJE EXTRA PESADOS (MÁS DE 12 TN) (DIARIOS)",15,0))))</f>
        <v>0</v>
      </c>
      <c r="AE39" s="91">
        <f t="shared" ref="AE39:AE70" si="11">IFERROR(AD39*AC39,0)</f>
        <v>0</v>
      </c>
      <c r="AF39" s="89">
        <f t="shared" si="2"/>
        <v>0</v>
      </c>
      <c r="AG39" s="92"/>
      <c r="AH39" s="93"/>
      <c r="AI39" s="94"/>
      <c r="AJ39" s="90" t="str">
        <f t="shared" ref="AJ39:AJ70" si="12">IF(AI39="","",AI39)</f>
        <v/>
      </c>
      <c r="AK39" s="85">
        <f t="shared" ref="AK39:AK70" si="13">IF(E39="","",E39)</f>
        <v>2064</v>
      </c>
      <c r="AL39" s="85"/>
      <c r="AM39" s="85" t="s">
        <v>9</v>
      </c>
      <c r="AN39" s="95" t="s">
        <v>9</v>
      </c>
      <c r="AO39" s="96"/>
      <c r="AP39" s="96"/>
      <c r="AQ39" s="86">
        <f t="shared" si="5"/>
        <v>0</v>
      </c>
      <c r="AR39" s="93">
        <f t="shared" si="6"/>
        <v>0</v>
      </c>
      <c r="AS39" s="90" t="str">
        <f t="shared" ref="AS39:AS70" si="14">AJ39</f>
        <v/>
      </c>
      <c r="AT39" s="116"/>
    </row>
    <row r="40" spans="1:50" ht="27.75" customHeight="1">
      <c r="A40" s="62">
        <v>28</v>
      </c>
      <c r="B40" s="62" t="s">
        <v>191</v>
      </c>
      <c r="C40" s="62" t="s">
        <v>192</v>
      </c>
      <c r="D40" s="97">
        <v>46117</v>
      </c>
      <c r="E40" s="62">
        <v>2065</v>
      </c>
      <c r="F40" s="62" t="s">
        <v>530</v>
      </c>
      <c r="G40" s="62" t="s">
        <v>236</v>
      </c>
      <c r="H40" s="62" t="s">
        <v>408</v>
      </c>
      <c r="I40" s="64" t="s">
        <v>531</v>
      </c>
      <c r="J40" s="62" t="s">
        <v>196</v>
      </c>
      <c r="K40" s="62">
        <v>2005</v>
      </c>
      <c r="L40" s="62" t="s">
        <v>532</v>
      </c>
      <c r="M40" s="114" t="s">
        <v>533</v>
      </c>
      <c r="N40" s="114" t="s">
        <v>534</v>
      </c>
      <c r="O40" s="62" t="s">
        <v>535</v>
      </c>
      <c r="P40" s="62" t="s">
        <v>536</v>
      </c>
      <c r="Q40" s="62" t="s">
        <v>537</v>
      </c>
      <c r="R40" s="62" t="s">
        <v>9</v>
      </c>
      <c r="S40" s="62"/>
      <c r="T40" s="62"/>
      <c r="U40" s="62" t="s">
        <v>538</v>
      </c>
      <c r="V40" s="97">
        <v>46137</v>
      </c>
      <c r="W40" s="62" t="s">
        <v>539</v>
      </c>
      <c r="X40" s="62" t="s">
        <v>540</v>
      </c>
      <c r="Y40" s="62" t="str">
        <f>P40</f>
        <v>GUANOQUIZA VALIENTE MILTON PATRICIO</v>
      </c>
      <c r="Z40" s="114" t="s">
        <v>541</v>
      </c>
      <c r="AA40" s="62" t="s">
        <v>542</v>
      </c>
      <c r="AB40" s="62" t="s">
        <v>247</v>
      </c>
      <c r="AC40" s="62">
        <f t="shared" si="10"/>
        <v>21</v>
      </c>
      <c r="AD40" s="98">
        <v>15</v>
      </c>
      <c r="AE40" s="99">
        <f t="shared" si="11"/>
        <v>315</v>
      </c>
      <c r="AF40" s="98" t="str">
        <f t="shared" si="2"/>
        <v>97524839/97528534</v>
      </c>
      <c r="AG40" s="117" t="s">
        <v>543</v>
      </c>
      <c r="AH40" s="118" t="s">
        <v>544</v>
      </c>
      <c r="AI40" s="64" t="s">
        <v>545</v>
      </c>
      <c r="AJ40" s="64" t="str">
        <f t="shared" si="12"/>
        <v>BANCO GUAYAQUIL</v>
      </c>
      <c r="AK40" s="62">
        <f t="shared" si="13"/>
        <v>2065</v>
      </c>
      <c r="AL40" s="62" t="s">
        <v>204</v>
      </c>
      <c r="AM40" s="62"/>
      <c r="AN40" s="108"/>
      <c r="AO40" s="64" t="s">
        <v>9</v>
      </c>
      <c r="AP40" s="102" t="s">
        <v>9</v>
      </c>
      <c r="AQ40" s="119" t="s">
        <v>543</v>
      </c>
      <c r="AR40" s="63" t="str">
        <f t="shared" ref="AR40:AR52" si="15">AH40</f>
        <v>202604243613480
202604253816371</v>
      </c>
      <c r="AS40" s="64" t="str">
        <f t="shared" si="14"/>
        <v>BANCO GUAYAQUIL</v>
      </c>
    </row>
    <row r="41" spans="1:50" ht="17.25" customHeight="1">
      <c r="A41" s="62">
        <v>17</v>
      </c>
      <c r="B41" s="62" t="s">
        <v>191</v>
      </c>
      <c r="C41" s="62" t="s">
        <v>192</v>
      </c>
      <c r="D41" s="97">
        <v>46122</v>
      </c>
      <c r="E41" s="62">
        <v>2066</v>
      </c>
      <c r="F41" s="62" t="s">
        <v>546</v>
      </c>
      <c r="G41" s="62" t="s">
        <v>328</v>
      </c>
      <c r="H41" s="62" t="s">
        <v>274</v>
      </c>
      <c r="I41" s="64" t="s">
        <v>547</v>
      </c>
      <c r="J41" s="62" t="s">
        <v>209</v>
      </c>
      <c r="K41" s="62">
        <v>2019</v>
      </c>
      <c r="L41" s="62" t="s">
        <v>548</v>
      </c>
      <c r="M41" s="114" t="s">
        <v>549</v>
      </c>
      <c r="N41" s="114" t="s">
        <v>550</v>
      </c>
      <c r="O41" s="62" t="s">
        <v>551</v>
      </c>
      <c r="P41" s="62" t="s">
        <v>552</v>
      </c>
      <c r="Q41" s="62" t="s">
        <v>202</v>
      </c>
      <c r="R41" s="62" t="s">
        <v>203</v>
      </c>
      <c r="S41" s="62" t="s">
        <v>9</v>
      </c>
      <c r="T41" s="62" t="s">
        <v>9</v>
      </c>
      <c r="U41" s="62" t="s">
        <v>204</v>
      </c>
      <c r="V41" s="97">
        <v>46134</v>
      </c>
      <c r="W41" s="62" t="s">
        <v>553</v>
      </c>
      <c r="X41" s="62" t="s">
        <v>300</v>
      </c>
      <c r="Y41" s="62" t="s">
        <v>554</v>
      </c>
      <c r="Z41" s="114" t="s">
        <v>555</v>
      </c>
      <c r="AA41" s="62">
        <v>97420031</v>
      </c>
      <c r="AB41" s="62" t="s">
        <v>216</v>
      </c>
      <c r="AC41" s="62">
        <f t="shared" si="10"/>
        <v>13</v>
      </c>
      <c r="AD41" s="98">
        <v>9</v>
      </c>
      <c r="AE41" s="99">
        <f t="shared" si="11"/>
        <v>117</v>
      </c>
      <c r="AF41" s="98">
        <f t="shared" si="2"/>
        <v>97420031</v>
      </c>
      <c r="AG41" s="100">
        <v>46134</v>
      </c>
      <c r="AH41" s="63">
        <v>17555437</v>
      </c>
      <c r="AI41" s="101" t="s">
        <v>248</v>
      </c>
      <c r="AJ41" s="64" t="str">
        <f t="shared" si="12"/>
        <v>MI NEGOCIO EFECTIVO</v>
      </c>
      <c r="AK41" s="62">
        <f t="shared" si="13"/>
        <v>2066</v>
      </c>
      <c r="AL41" s="62" t="s">
        <v>340</v>
      </c>
      <c r="AM41" s="62" t="s">
        <v>9</v>
      </c>
      <c r="AN41" s="108" t="s">
        <v>9</v>
      </c>
      <c r="AO41" s="102" t="s">
        <v>218</v>
      </c>
      <c r="AP41" s="64" t="s">
        <v>234</v>
      </c>
      <c r="AQ41" s="97">
        <f t="shared" ref="AQ41:AQ72" si="16">AG41</f>
        <v>46134</v>
      </c>
      <c r="AR41" s="63">
        <f t="shared" si="15"/>
        <v>17555437</v>
      </c>
      <c r="AS41" s="64" t="str">
        <f t="shared" si="14"/>
        <v>MI NEGOCIO EFECTIVO</v>
      </c>
      <c r="AT41" s="103"/>
      <c r="AU41" s="103"/>
      <c r="AV41" s="103"/>
      <c r="AW41" s="103"/>
      <c r="AX41" s="103"/>
    </row>
    <row r="42" spans="1:50" ht="14.25" customHeight="1">
      <c r="A42" s="85">
        <v>5</v>
      </c>
      <c r="B42" s="85" t="s">
        <v>191</v>
      </c>
      <c r="C42" s="85" t="s">
        <v>192</v>
      </c>
      <c r="D42" s="86">
        <v>46123</v>
      </c>
      <c r="E42" s="85">
        <v>2067</v>
      </c>
      <c r="F42" s="85" t="s">
        <v>556</v>
      </c>
      <c r="G42" s="85" t="s">
        <v>557</v>
      </c>
      <c r="H42" s="85"/>
      <c r="I42" s="90"/>
      <c r="J42" s="85" t="s">
        <v>209</v>
      </c>
      <c r="K42" s="85"/>
      <c r="L42" s="85" t="s">
        <v>558</v>
      </c>
      <c r="M42" s="215" t="s">
        <v>559</v>
      </c>
      <c r="N42" s="215" t="s">
        <v>550</v>
      </c>
      <c r="O42" s="85" t="s">
        <v>560</v>
      </c>
      <c r="P42" s="85" t="s">
        <v>561</v>
      </c>
      <c r="Q42" s="85" t="s">
        <v>202</v>
      </c>
      <c r="R42" s="85" t="s">
        <v>203</v>
      </c>
      <c r="S42" s="85" t="s">
        <v>9</v>
      </c>
      <c r="T42" s="85" t="s">
        <v>9</v>
      </c>
      <c r="U42" s="85" t="s">
        <v>204</v>
      </c>
      <c r="V42" s="86"/>
      <c r="W42" s="85"/>
      <c r="X42" s="85"/>
      <c r="Y42" s="85"/>
      <c r="Z42" s="215"/>
      <c r="AA42" s="85"/>
      <c r="AB42" s="90"/>
      <c r="AC42" s="85">
        <f t="shared" si="10"/>
        <v>-46122</v>
      </c>
      <c r="AD42" s="89">
        <f>IF(AB42="SERVICIO DE GARAJE LIVIANOS (HASTA 3,5 TN A EXCEPCIÓN DE MOTOCICLETAS) (DIARIOS)",3,IF(AB42="SERVICIO DE GARAJE PESADOS (DE 3,51 TN HASTA 12 TN) (DIARIOS)",9,IF(AB42="SERVICIO DE GARAJE (CENTROS DE RETENCIÓN) MOTOCICLETA",1,IF(AB42="SERVICIO DE GARAJE EXTRA PESADOS (MÁS DE 12 TN) (DIARIOS)",15,0))))</f>
        <v>0</v>
      </c>
      <c r="AE42" s="91">
        <f t="shared" si="11"/>
        <v>0</v>
      </c>
      <c r="AF42" s="89">
        <f t="shared" si="2"/>
        <v>0</v>
      </c>
      <c r="AG42" s="92"/>
      <c r="AH42" s="93"/>
      <c r="AI42" s="94"/>
      <c r="AJ42" s="90" t="str">
        <f t="shared" si="12"/>
        <v/>
      </c>
      <c r="AK42" s="85">
        <f t="shared" si="13"/>
        <v>2067</v>
      </c>
      <c r="AL42" s="85"/>
      <c r="AM42" s="85" t="s">
        <v>9</v>
      </c>
      <c r="AN42" s="95" t="s">
        <v>9</v>
      </c>
      <c r="AO42" s="96"/>
      <c r="AP42" s="96"/>
      <c r="AQ42" s="86">
        <f t="shared" si="16"/>
        <v>0</v>
      </c>
      <c r="AR42" s="93">
        <f t="shared" si="15"/>
        <v>0</v>
      </c>
      <c r="AS42" s="90" t="str">
        <f t="shared" si="14"/>
        <v/>
      </c>
      <c r="AT42" s="116"/>
    </row>
    <row r="43" spans="1:50" ht="14.25" customHeight="1">
      <c r="A43" s="62">
        <v>6</v>
      </c>
      <c r="B43" s="62" t="s">
        <v>191</v>
      </c>
      <c r="C43" s="62" t="s">
        <v>192</v>
      </c>
      <c r="D43" s="97">
        <v>46128</v>
      </c>
      <c r="E43" s="62">
        <v>2068</v>
      </c>
      <c r="F43" s="62" t="s">
        <v>562</v>
      </c>
      <c r="G43" s="62" t="s">
        <v>236</v>
      </c>
      <c r="H43" s="62" t="s">
        <v>261</v>
      </c>
      <c r="I43" s="105" t="s">
        <v>563</v>
      </c>
      <c r="J43" s="62" t="s">
        <v>209</v>
      </c>
      <c r="K43" s="62">
        <v>2002</v>
      </c>
      <c r="L43" s="62" t="s">
        <v>564</v>
      </c>
      <c r="M43" s="114" t="s">
        <v>565</v>
      </c>
      <c r="N43" s="114" t="s">
        <v>566</v>
      </c>
      <c r="O43" s="62" t="s">
        <v>501</v>
      </c>
      <c r="P43" s="62" t="s">
        <v>567</v>
      </c>
      <c r="Q43" s="62" t="s">
        <v>202</v>
      </c>
      <c r="R43" s="62" t="s">
        <v>203</v>
      </c>
      <c r="S43" s="62" t="s">
        <v>9</v>
      </c>
      <c r="T43" s="62" t="s">
        <v>9</v>
      </c>
      <c r="U43" s="62" t="s">
        <v>340</v>
      </c>
      <c r="V43" s="97">
        <v>46162</v>
      </c>
      <c r="W43" s="62" t="s">
        <v>568</v>
      </c>
      <c r="X43" s="62" t="s">
        <v>510</v>
      </c>
      <c r="Y43" s="62" t="s">
        <v>569</v>
      </c>
      <c r="Z43" s="114" t="s">
        <v>570</v>
      </c>
      <c r="AA43" s="62">
        <v>98167105</v>
      </c>
      <c r="AB43" s="64" t="s">
        <v>258</v>
      </c>
      <c r="AC43" s="62">
        <f t="shared" si="10"/>
        <v>35</v>
      </c>
      <c r="AD43" s="98">
        <f>IF(AB43="SERVICIO DE GARAJE LIVIANOS (HASTA 3,5 TN A EXCEPCIÓN DE MOTOCICLETAS) (DIARIOS)",3,IF(AB43="SERVICIO DE GARAJE PESADOS (DE 3,51 TN HASTA 12 TN) (DIARIOS)",9,IF(AB43="SERVICIO DE GARAJE (CENTROS DE RETENCIÓN) MOTOCICLETA",1,IF(AB43="SERVICIO DE GARAJE EXTRA PESADOS (MÁS DE 12 TN) (DIARIOS)",15,0))))</f>
        <v>15</v>
      </c>
      <c r="AE43" s="99">
        <f t="shared" si="11"/>
        <v>525</v>
      </c>
      <c r="AF43" s="98">
        <f t="shared" si="2"/>
        <v>98167105</v>
      </c>
      <c r="AG43" s="100">
        <v>46162</v>
      </c>
      <c r="AH43" s="63">
        <v>202605203864720</v>
      </c>
      <c r="AI43" s="101" t="s">
        <v>571</v>
      </c>
      <c r="AJ43" s="64" t="str">
        <f t="shared" si="12"/>
        <v>MI NEGOCIO EFECTIVO  BANCO PACIFICO</v>
      </c>
      <c r="AK43" s="62">
        <f t="shared" si="13"/>
        <v>2068</v>
      </c>
      <c r="AL43" s="62" t="s">
        <v>204</v>
      </c>
      <c r="AM43" s="62" t="s">
        <v>9</v>
      </c>
      <c r="AN43" s="108" t="s">
        <v>9</v>
      </c>
      <c r="AO43" s="102" t="s">
        <v>218</v>
      </c>
      <c r="AP43" s="102"/>
      <c r="AQ43" s="97">
        <f t="shared" si="16"/>
        <v>46162</v>
      </c>
      <c r="AR43" s="63">
        <f t="shared" si="15"/>
        <v>202605203864720</v>
      </c>
      <c r="AS43" s="64" t="str">
        <f t="shared" si="14"/>
        <v>MI NEGOCIO EFECTIVO  BANCO PACIFICO</v>
      </c>
    </row>
    <row r="44" spans="1:50" ht="14.25" customHeight="1">
      <c r="A44" s="62">
        <v>32</v>
      </c>
      <c r="B44" s="62" t="s">
        <v>191</v>
      </c>
      <c r="C44" s="62" t="s">
        <v>192</v>
      </c>
      <c r="D44" s="97">
        <v>46134</v>
      </c>
      <c r="E44" s="62">
        <v>2069</v>
      </c>
      <c r="F44" s="62" t="s">
        <v>572</v>
      </c>
      <c r="G44" s="62" t="s">
        <v>372</v>
      </c>
      <c r="H44" s="62" t="s">
        <v>304</v>
      </c>
      <c r="I44" s="64" t="s">
        <v>573</v>
      </c>
      <c r="J44" s="62" t="s">
        <v>574</v>
      </c>
      <c r="K44" s="62">
        <v>2025</v>
      </c>
      <c r="L44" s="62" t="s">
        <v>575</v>
      </c>
      <c r="M44" s="114" t="s">
        <v>576</v>
      </c>
      <c r="N44" s="114" t="s">
        <v>577</v>
      </c>
      <c r="O44" s="62" t="s">
        <v>578</v>
      </c>
      <c r="P44" s="62" t="s">
        <v>579</v>
      </c>
      <c r="Q44" s="62" t="s">
        <v>202</v>
      </c>
      <c r="R44" s="62" t="s">
        <v>203</v>
      </c>
      <c r="U44" s="62" t="s">
        <v>340</v>
      </c>
      <c r="V44" s="97">
        <v>46139</v>
      </c>
      <c r="W44" s="62" t="s">
        <v>580</v>
      </c>
      <c r="X44" s="62" t="s">
        <v>394</v>
      </c>
      <c r="Y44" s="62" t="str">
        <f>P44</f>
        <v>PINANGO JUAN FRANCISCO</v>
      </c>
      <c r="Z44" s="114">
        <v>1709076234</v>
      </c>
      <c r="AA44" s="62">
        <v>97576553</v>
      </c>
      <c r="AB44" s="64" t="s">
        <v>258</v>
      </c>
      <c r="AC44" s="62">
        <f t="shared" si="10"/>
        <v>6</v>
      </c>
      <c r="AD44" s="98">
        <f>IF(AB44="SERVICIO DE GARAJE LIVIANOS (HASTA 3,5 TN A EXCEPCIÓN DE MOTOCICLETAS) (DIARIOS)",3,IF(AB44="SERVICIO DE GARAJE PESADOS (DE 3,51 TN HASTA 12 TN) (DIARIOS)",9,IF(AB44="SERVICIO DE GARAJE (CENTROS DE RETENCIÓN) MOTOCICLETA",1,IF(AB44="SERVICIO DE GARAJE EXTRA PESADOS (MÁS DE 12 TN) (DIARIOS)",15,0))))</f>
        <v>15</v>
      </c>
      <c r="AE44" s="99">
        <f t="shared" si="11"/>
        <v>90</v>
      </c>
      <c r="AF44" s="98">
        <f t="shared" si="2"/>
        <v>97576553</v>
      </c>
      <c r="AG44" s="100">
        <v>46139</v>
      </c>
      <c r="AH44" s="63">
        <v>3858074</v>
      </c>
      <c r="AI44" s="101" t="s">
        <v>363</v>
      </c>
      <c r="AJ44" s="64" t="str">
        <f t="shared" si="12"/>
        <v>BANCO PACIFICO</v>
      </c>
      <c r="AK44" s="62">
        <f t="shared" si="13"/>
        <v>2069</v>
      </c>
      <c r="AL44" s="62" t="s">
        <v>204</v>
      </c>
      <c r="AO44" s="102" t="s">
        <v>218</v>
      </c>
      <c r="AP44" s="102" t="s">
        <v>440</v>
      </c>
      <c r="AQ44" s="97">
        <f t="shared" si="16"/>
        <v>46139</v>
      </c>
      <c r="AR44" s="63">
        <f t="shared" si="15"/>
        <v>3858074</v>
      </c>
      <c r="AS44" s="64" t="str">
        <f t="shared" si="14"/>
        <v>BANCO PACIFICO</v>
      </c>
      <c r="AT44" s="103"/>
      <c r="AU44" s="103"/>
      <c r="AV44" s="103"/>
      <c r="AW44" s="103"/>
      <c r="AX44" s="103"/>
    </row>
    <row r="45" spans="1:50" ht="14.25" customHeight="1">
      <c r="A45" s="62">
        <v>12</v>
      </c>
      <c r="B45" s="62" t="s">
        <v>191</v>
      </c>
      <c r="C45" s="62" t="s">
        <v>192</v>
      </c>
      <c r="D45" s="97">
        <v>46135</v>
      </c>
      <c r="E45" s="62">
        <v>2070</v>
      </c>
      <c r="F45" s="62" t="s">
        <v>581</v>
      </c>
      <c r="G45" s="62" t="s">
        <v>236</v>
      </c>
      <c r="H45" s="62" t="s">
        <v>274</v>
      </c>
      <c r="I45" s="120" t="s">
        <v>582</v>
      </c>
      <c r="J45" s="62" t="s">
        <v>209</v>
      </c>
      <c r="K45" s="62">
        <v>2009</v>
      </c>
      <c r="L45" s="62" t="s">
        <v>583</v>
      </c>
      <c r="M45" s="114" t="s">
        <v>584</v>
      </c>
      <c r="N45" s="114" t="s">
        <v>585</v>
      </c>
      <c r="O45" s="62" t="s">
        <v>586</v>
      </c>
      <c r="P45" s="62" t="s">
        <v>587</v>
      </c>
      <c r="Q45" s="62" t="s">
        <v>202</v>
      </c>
      <c r="R45" s="62" t="s">
        <v>203</v>
      </c>
      <c r="S45" s="62" t="s">
        <v>9</v>
      </c>
      <c r="T45" s="62" t="s">
        <v>9</v>
      </c>
      <c r="U45" s="62" t="s">
        <v>204</v>
      </c>
      <c r="V45" s="97">
        <v>46148</v>
      </c>
      <c r="W45" s="62" t="s">
        <v>588</v>
      </c>
      <c r="X45" s="62" t="s">
        <v>510</v>
      </c>
      <c r="Y45" s="62" t="s">
        <v>587</v>
      </c>
      <c r="Z45" s="114" t="s">
        <v>589</v>
      </c>
      <c r="AA45" s="62">
        <v>97801223</v>
      </c>
      <c r="AB45" s="62" t="s">
        <v>216</v>
      </c>
      <c r="AC45" s="62">
        <f t="shared" si="10"/>
        <v>14</v>
      </c>
      <c r="AD45" s="98">
        <v>9</v>
      </c>
      <c r="AE45" s="99">
        <f t="shared" si="11"/>
        <v>126</v>
      </c>
      <c r="AF45" s="98">
        <f t="shared" si="2"/>
        <v>97801223</v>
      </c>
      <c r="AG45" s="100">
        <v>46148</v>
      </c>
      <c r="AH45" s="63">
        <v>17650247</v>
      </c>
      <c r="AI45" s="101" t="s">
        <v>248</v>
      </c>
      <c r="AJ45" s="64" t="str">
        <f t="shared" si="12"/>
        <v>MI NEGOCIO EFECTIVO</v>
      </c>
      <c r="AK45" s="62">
        <f t="shared" si="13"/>
        <v>2070</v>
      </c>
      <c r="AL45" s="62" t="s">
        <v>340</v>
      </c>
      <c r="AM45" s="62" t="s">
        <v>9</v>
      </c>
      <c r="AN45" s="108" t="s">
        <v>9</v>
      </c>
      <c r="AO45" s="102" t="s">
        <v>218</v>
      </c>
      <c r="AP45" s="64" t="s">
        <v>590</v>
      </c>
      <c r="AQ45" s="97">
        <f t="shared" si="16"/>
        <v>46148</v>
      </c>
      <c r="AR45" s="63">
        <f t="shared" si="15"/>
        <v>17650247</v>
      </c>
      <c r="AS45" s="64" t="str">
        <f t="shared" si="14"/>
        <v>MI NEGOCIO EFECTIVO</v>
      </c>
      <c r="AT45" s="103"/>
      <c r="AU45" s="103"/>
      <c r="AV45" s="103"/>
      <c r="AW45" s="103"/>
      <c r="AX45" s="103"/>
    </row>
    <row r="46" spans="1:50" ht="14.25" customHeight="1">
      <c r="A46" s="62">
        <v>13</v>
      </c>
      <c r="B46" s="62" t="s">
        <v>191</v>
      </c>
      <c r="C46" s="62" t="s">
        <v>192</v>
      </c>
      <c r="D46" s="97">
        <v>46145</v>
      </c>
      <c r="E46" s="62">
        <v>2071</v>
      </c>
      <c r="F46" s="62" t="s">
        <v>591</v>
      </c>
      <c r="G46" s="62" t="s">
        <v>328</v>
      </c>
      <c r="H46" s="62" t="s">
        <v>222</v>
      </c>
      <c r="I46" s="64" t="s">
        <v>592</v>
      </c>
      <c r="J46" s="62" t="s">
        <v>224</v>
      </c>
      <c r="K46" s="62">
        <v>2006</v>
      </c>
      <c r="L46" s="62" t="s">
        <v>593</v>
      </c>
      <c r="M46" s="114" t="s">
        <v>594</v>
      </c>
      <c r="N46" s="114" t="s">
        <v>595</v>
      </c>
      <c r="O46" s="62" t="s">
        <v>501</v>
      </c>
      <c r="P46" s="62" t="s">
        <v>596</v>
      </c>
      <c r="Q46" s="62" t="s">
        <v>202</v>
      </c>
      <c r="R46" s="62" t="s">
        <v>203</v>
      </c>
      <c r="S46" s="62" t="s">
        <v>9</v>
      </c>
      <c r="T46" s="62" t="s">
        <v>9</v>
      </c>
      <c r="U46" s="62" t="s">
        <v>204</v>
      </c>
      <c r="V46" s="97">
        <v>46148</v>
      </c>
      <c r="W46" s="62" t="s">
        <v>597</v>
      </c>
      <c r="X46" s="62" t="s">
        <v>510</v>
      </c>
      <c r="Y46" s="62" t="s">
        <v>596</v>
      </c>
      <c r="Z46" s="114" t="s">
        <v>598</v>
      </c>
      <c r="AA46" s="62">
        <v>97803749</v>
      </c>
      <c r="AB46" s="62" t="s">
        <v>216</v>
      </c>
      <c r="AC46" s="62">
        <f t="shared" si="10"/>
        <v>4</v>
      </c>
      <c r="AD46" s="98">
        <v>9</v>
      </c>
      <c r="AE46" s="99">
        <f t="shared" si="11"/>
        <v>36</v>
      </c>
      <c r="AF46" s="98">
        <f t="shared" si="2"/>
        <v>97803749</v>
      </c>
      <c r="AG46" s="100">
        <v>46148</v>
      </c>
      <c r="AH46" s="63">
        <v>17650939</v>
      </c>
      <c r="AI46" s="101" t="s">
        <v>312</v>
      </c>
      <c r="AJ46" s="64" t="str">
        <f t="shared" si="12"/>
        <v>SERVIPAGOS</v>
      </c>
      <c r="AK46" s="62">
        <f t="shared" si="13"/>
        <v>2071</v>
      </c>
      <c r="AL46" s="62" t="s">
        <v>340</v>
      </c>
      <c r="AM46" s="62" t="s">
        <v>9</v>
      </c>
      <c r="AN46" s="108" t="s">
        <v>9</v>
      </c>
      <c r="AO46" s="102" t="s">
        <v>218</v>
      </c>
      <c r="AP46" s="64" t="s">
        <v>599</v>
      </c>
      <c r="AQ46" s="97">
        <f t="shared" si="16"/>
        <v>46148</v>
      </c>
      <c r="AR46" s="63">
        <f t="shared" si="15"/>
        <v>17650939</v>
      </c>
      <c r="AS46" s="64" t="str">
        <f t="shared" si="14"/>
        <v>SERVIPAGOS</v>
      </c>
    </row>
    <row r="47" spans="1:50" ht="14.25" customHeight="1">
      <c r="A47" s="62">
        <v>7</v>
      </c>
      <c r="B47" s="62" t="s">
        <v>191</v>
      </c>
      <c r="C47" s="62" t="s">
        <v>192</v>
      </c>
      <c r="D47" s="97">
        <v>46148</v>
      </c>
      <c r="E47" s="62">
        <v>2072</v>
      </c>
      <c r="F47" s="62" t="s">
        <v>600</v>
      </c>
      <c r="G47" s="62" t="s">
        <v>236</v>
      </c>
      <c r="H47" s="62" t="s">
        <v>274</v>
      </c>
      <c r="I47" s="105" t="s">
        <v>601</v>
      </c>
      <c r="J47" s="62" t="s">
        <v>239</v>
      </c>
      <c r="K47" s="62">
        <v>2018</v>
      </c>
      <c r="L47" s="62" t="s">
        <v>602</v>
      </c>
      <c r="M47" s="114" t="s">
        <v>603</v>
      </c>
      <c r="N47" s="114" t="s">
        <v>604</v>
      </c>
      <c r="O47" s="62" t="s">
        <v>605</v>
      </c>
      <c r="P47" s="62" t="s">
        <v>606</v>
      </c>
      <c r="Q47" s="62" t="s">
        <v>202</v>
      </c>
      <c r="R47" s="62" t="s">
        <v>203</v>
      </c>
      <c r="S47" s="62" t="s">
        <v>9</v>
      </c>
      <c r="T47" s="62" t="s">
        <v>9</v>
      </c>
      <c r="U47" s="62" t="s">
        <v>340</v>
      </c>
      <c r="V47" s="97">
        <v>46162</v>
      </c>
      <c r="W47" s="62" t="s">
        <v>607</v>
      </c>
      <c r="X47" s="62" t="s">
        <v>510</v>
      </c>
      <c r="Y47" s="62" t="s">
        <v>608</v>
      </c>
      <c r="Z47" s="114" t="s">
        <v>609</v>
      </c>
      <c r="AA47" s="62">
        <v>98187956</v>
      </c>
      <c r="AB47" s="64" t="s">
        <v>258</v>
      </c>
      <c r="AC47" s="62">
        <f t="shared" si="10"/>
        <v>15</v>
      </c>
      <c r="AD47" s="98">
        <f>IF(AB47="SERVICIO DE GARAJE LIVIANOS (HASTA 3,5 TN A EXCEPCIÓN DE MOTOCICLETAS) (DIARIOS)",3,IF(AB47="SERVICIO DE GARAJE PESADOS (DE 3,51 TN HASTA 12 TN) (DIARIOS)",9,IF(AB47="SERVICIO DE GARAJE (CENTROS DE RETENCIÓN) MOTOCICLETA",1,IF(AB47="SERVICIO DE GARAJE EXTRA PESADOS (MÁS DE 12 TN) (DIARIOS)",15,0))))</f>
        <v>15</v>
      </c>
      <c r="AE47" s="99">
        <f t="shared" si="11"/>
        <v>225</v>
      </c>
      <c r="AF47" s="98">
        <f t="shared" si="2"/>
        <v>98187956</v>
      </c>
      <c r="AG47" s="100">
        <v>46162</v>
      </c>
      <c r="AH47" s="63">
        <v>98187956</v>
      </c>
      <c r="AI47" s="101" t="s">
        <v>370</v>
      </c>
      <c r="AJ47" s="64" t="str">
        <f t="shared" si="12"/>
        <v>MI NEGOCIO EFECTIVO  BANCO PICHINCHA</v>
      </c>
      <c r="AK47" s="62">
        <f t="shared" si="13"/>
        <v>2072</v>
      </c>
      <c r="AL47" s="62" t="s">
        <v>204</v>
      </c>
      <c r="AM47" s="62" t="s">
        <v>9</v>
      </c>
      <c r="AN47" s="108" t="s">
        <v>9</v>
      </c>
      <c r="AO47" s="102" t="s">
        <v>218</v>
      </c>
      <c r="AP47" s="102" t="s">
        <v>610</v>
      </c>
      <c r="AQ47" s="97">
        <f t="shared" si="16"/>
        <v>46162</v>
      </c>
      <c r="AR47" s="63">
        <f t="shared" si="15"/>
        <v>98187956</v>
      </c>
      <c r="AS47" s="64" t="str">
        <f t="shared" si="14"/>
        <v>MI NEGOCIO EFECTIVO  BANCO PICHINCHA</v>
      </c>
    </row>
    <row r="48" spans="1:50" ht="14.25" customHeight="1">
      <c r="A48" s="62">
        <v>8</v>
      </c>
      <c r="B48" s="62" t="s">
        <v>191</v>
      </c>
      <c r="C48" s="62" t="s">
        <v>192</v>
      </c>
      <c r="D48" s="97">
        <v>46150</v>
      </c>
      <c r="E48" s="62">
        <v>2073</v>
      </c>
      <c r="F48" s="62" t="s">
        <v>611</v>
      </c>
      <c r="G48" s="62" t="s">
        <v>236</v>
      </c>
      <c r="H48" s="62" t="s">
        <v>222</v>
      </c>
      <c r="I48" s="105" t="s">
        <v>251</v>
      </c>
      <c r="J48" s="62" t="s">
        <v>478</v>
      </c>
      <c r="K48" s="62">
        <v>2016</v>
      </c>
      <c r="L48" s="62" t="s">
        <v>612</v>
      </c>
      <c r="M48" s="114" t="s">
        <v>613</v>
      </c>
      <c r="N48" s="114" t="s">
        <v>614</v>
      </c>
      <c r="O48" s="62" t="s">
        <v>501</v>
      </c>
      <c r="P48" s="62" t="s">
        <v>615</v>
      </c>
      <c r="Q48" s="62" t="s">
        <v>202</v>
      </c>
      <c r="R48" s="62" t="s">
        <v>203</v>
      </c>
      <c r="S48" s="62" t="s">
        <v>9</v>
      </c>
      <c r="T48" s="62" t="s">
        <v>9</v>
      </c>
      <c r="U48" s="62" t="s">
        <v>340</v>
      </c>
      <c r="V48" s="97">
        <v>46157</v>
      </c>
      <c r="W48" s="62" t="s">
        <v>616</v>
      </c>
      <c r="X48" s="62" t="s">
        <v>510</v>
      </c>
      <c r="Y48" s="62" t="s">
        <v>617</v>
      </c>
      <c r="Z48" s="114" t="s">
        <v>618</v>
      </c>
      <c r="AA48" s="62"/>
      <c r="AB48" s="64" t="s">
        <v>216</v>
      </c>
      <c r="AC48" s="62">
        <f t="shared" si="10"/>
        <v>8</v>
      </c>
      <c r="AD48" s="98">
        <f>IF(AB48="SERVICIO DE GARAJE LIVIANOS (HASTA 3,5 TN A EXCEPCIÓN DE MOTOCICLETAS) (DIARIOS)",3,IF(AB48="SERVICIO DE GARAJE PESADOS (DE 3,51 TN HASTA 12 TN) (DIARIOS)",9,IF(AB48="SERVICIO DE GARAJE (CENTROS DE RETENCIÓN) MOTOCICLETA",1,IF(AB48="SERVICIO DE GARAJE EXTRA PESADOS (MÁS DE 12 TN) (DIARIOS)",15,0))))</f>
        <v>9</v>
      </c>
      <c r="AE48" s="99">
        <f t="shared" si="11"/>
        <v>72</v>
      </c>
      <c r="AF48" s="98">
        <v>98134670</v>
      </c>
      <c r="AG48" s="100">
        <v>46157</v>
      </c>
      <c r="AH48" s="63">
        <v>98134670</v>
      </c>
      <c r="AI48" s="101" t="s">
        <v>370</v>
      </c>
      <c r="AJ48" s="64" t="str">
        <f t="shared" si="12"/>
        <v>MI NEGOCIO EFECTIVO  BANCO PICHINCHA</v>
      </c>
      <c r="AK48" s="62">
        <f t="shared" si="13"/>
        <v>2073</v>
      </c>
      <c r="AL48" s="62" t="s">
        <v>340</v>
      </c>
      <c r="AM48" s="62" t="s">
        <v>9</v>
      </c>
      <c r="AN48" s="108" t="s">
        <v>9</v>
      </c>
      <c r="AO48" s="102" t="s">
        <v>218</v>
      </c>
      <c r="AP48" s="102" t="s">
        <v>432</v>
      </c>
      <c r="AQ48" s="97">
        <f t="shared" si="16"/>
        <v>46157</v>
      </c>
      <c r="AR48" s="63">
        <f t="shared" si="15"/>
        <v>98134670</v>
      </c>
      <c r="AS48" s="64" t="str">
        <f t="shared" si="14"/>
        <v>MI NEGOCIO EFECTIVO  BANCO PICHINCHA</v>
      </c>
      <c r="AT48" s="103" t="s">
        <v>619</v>
      </c>
    </row>
    <row r="49" spans="1:50" ht="14.25" customHeight="1">
      <c r="A49" s="62">
        <v>9</v>
      </c>
      <c r="B49" s="62" t="s">
        <v>191</v>
      </c>
      <c r="C49" s="62" t="s">
        <v>192</v>
      </c>
      <c r="D49" s="97">
        <v>46154</v>
      </c>
      <c r="E49" s="62">
        <v>2074</v>
      </c>
      <c r="F49" s="62" t="s">
        <v>620</v>
      </c>
      <c r="G49" s="62" t="s">
        <v>557</v>
      </c>
      <c r="H49" s="62" t="s">
        <v>304</v>
      </c>
      <c r="I49" s="105" t="s">
        <v>621</v>
      </c>
      <c r="J49" s="62" t="s">
        <v>209</v>
      </c>
      <c r="K49" s="62">
        <v>2008</v>
      </c>
      <c r="L49" s="62" t="s">
        <v>622</v>
      </c>
      <c r="M49" s="114" t="s">
        <v>623</v>
      </c>
      <c r="N49" s="114" t="s">
        <v>624</v>
      </c>
      <c r="O49" s="62" t="s">
        <v>625</v>
      </c>
      <c r="P49" s="62" t="s">
        <v>626</v>
      </c>
      <c r="Q49" s="62" t="s">
        <v>202</v>
      </c>
      <c r="R49" s="62" t="s">
        <v>203</v>
      </c>
      <c r="S49" s="62" t="s">
        <v>9</v>
      </c>
      <c r="T49" s="62" t="s">
        <v>9</v>
      </c>
      <c r="U49" s="62" t="s">
        <v>204</v>
      </c>
      <c r="V49" s="97">
        <v>46182</v>
      </c>
      <c r="W49" s="62" t="s">
        <v>627</v>
      </c>
      <c r="X49" s="62" t="s">
        <v>322</v>
      </c>
      <c r="Y49" s="62" t="s">
        <v>628</v>
      </c>
      <c r="Z49" s="114">
        <v>1719633438</v>
      </c>
      <c r="AA49" s="62">
        <v>98757315</v>
      </c>
      <c r="AB49" s="64" t="s">
        <v>258</v>
      </c>
      <c r="AC49" s="62">
        <f t="shared" si="10"/>
        <v>29</v>
      </c>
      <c r="AD49" s="98">
        <f>IF(AB49="SERVICIO DE GARAJE LIVIANOS (HASTA 3,5 TN A EXCEPCIÓN DE MOTOCICLETAS) (DIARIOS)",3,IF(AB49="SERVICIO DE GARAJE PESADOS (DE 3,51 TN HASTA 12 TN) (DIARIOS)",9,IF(AB49="SERVICIO DE GARAJE (CENTROS DE RETENCIÓN) MOTOCICLETA",1,IF(AB49="SERVICIO DE GARAJE EXTRA PESADOS (MÁS DE 12 TN) (DIARIOS)",15,0))))</f>
        <v>15</v>
      </c>
      <c r="AE49" s="99">
        <f t="shared" si="11"/>
        <v>435</v>
      </c>
      <c r="AF49" s="98">
        <f t="shared" ref="AF49:AF80" si="17">AA49</f>
        <v>98757315</v>
      </c>
      <c r="AG49" s="100">
        <v>46182</v>
      </c>
      <c r="AH49" s="63">
        <v>4871034</v>
      </c>
      <c r="AI49" s="101" t="s">
        <v>363</v>
      </c>
      <c r="AJ49" s="64" t="str">
        <f t="shared" si="12"/>
        <v>BANCO PACIFICO</v>
      </c>
      <c r="AK49" s="62">
        <f t="shared" si="13"/>
        <v>2074</v>
      </c>
      <c r="AL49" s="62" t="s">
        <v>204</v>
      </c>
      <c r="AM49" s="62" t="s">
        <v>9</v>
      </c>
      <c r="AN49" s="108" t="s">
        <v>9</v>
      </c>
      <c r="AO49" s="102" t="s">
        <v>218</v>
      </c>
      <c r="AP49" s="102" t="s">
        <v>629</v>
      </c>
      <c r="AQ49" s="97">
        <f t="shared" si="16"/>
        <v>46182</v>
      </c>
      <c r="AR49" s="63">
        <f t="shared" si="15"/>
        <v>4871034</v>
      </c>
      <c r="AS49" s="64" t="str">
        <f t="shared" si="14"/>
        <v>BANCO PACIFICO</v>
      </c>
    </row>
    <row r="50" spans="1:50" ht="14.25" customHeight="1">
      <c r="A50" s="62">
        <v>11</v>
      </c>
      <c r="B50" s="62" t="s">
        <v>191</v>
      </c>
      <c r="C50" s="62" t="s">
        <v>192</v>
      </c>
      <c r="D50" s="97">
        <v>46154</v>
      </c>
      <c r="E50" s="62">
        <v>2075</v>
      </c>
      <c r="F50" s="62" t="s">
        <v>630</v>
      </c>
      <c r="G50" s="62" t="s">
        <v>236</v>
      </c>
      <c r="H50" s="62" t="s">
        <v>274</v>
      </c>
      <c r="I50" s="105" t="s">
        <v>631</v>
      </c>
      <c r="J50" s="62" t="s">
        <v>209</v>
      </c>
      <c r="K50" s="62">
        <v>2020</v>
      </c>
      <c r="L50" s="62" t="s">
        <v>632</v>
      </c>
      <c r="M50" s="114" t="s">
        <v>633</v>
      </c>
      <c r="N50" s="114" t="s">
        <v>624</v>
      </c>
      <c r="O50" s="62" t="s">
        <v>625</v>
      </c>
      <c r="P50" s="62" t="s">
        <v>626</v>
      </c>
      <c r="Q50" s="62" t="s">
        <v>202</v>
      </c>
      <c r="R50" s="62" t="s">
        <v>203</v>
      </c>
      <c r="S50" s="62" t="s">
        <v>9</v>
      </c>
      <c r="T50" s="62" t="s">
        <v>9</v>
      </c>
      <c r="U50" s="62" t="s">
        <v>204</v>
      </c>
      <c r="V50" s="97">
        <v>46168</v>
      </c>
      <c r="W50" s="62" t="s">
        <v>634</v>
      </c>
      <c r="X50" s="62" t="s">
        <v>510</v>
      </c>
      <c r="Y50" s="62" t="s">
        <v>635</v>
      </c>
      <c r="Z50" s="114" t="s">
        <v>636</v>
      </c>
      <c r="AA50" s="62">
        <v>98310705</v>
      </c>
      <c r="AB50" s="64" t="s">
        <v>513</v>
      </c>
      <c r="AC50" s="62">
        <f t="shared" si="10"/>
        <v>15</v>
      </c>
      <c r="AD50" s="98">
        <v>3</v>
      </c>
      <c r="AE50" s="99">
        <f t="shared" si="11"/>
        <v>45</v>
      </c>
      <c r="AF50" s="98">
        <f t="shared" si="17"/>
        <v>98310705</v>
      </c>
      <c r="AG50" s="100">
        <v>46168</v>
      </c>
      <c r="AH50" s="63">
        <v>98310705</v>
      </c>
      <c r="AI50" s="101" t="s">
        <v>370</v>
      </c>
      <c r="AJ50" s="64" t="str">
        <f t="shared" si="12"/>
        <v>MI NEGOCIO EFECTIVO  BANCO PICHINCHA</v>
      </c>
      <c r="AK50" s="62">
        <f t="shared" si="13"/>
        <v>2075</v>
      </c>
      <c r="AL50" s="62" t="s">
        <v>204</v>
      </c>
      <c r="AM50" s="62" t="s">
        <v>9</v>
      </c>
      <c r="AN50" s="108" t="s">
        <v>9</v>
      </c>
      <c r="AO50" s="102" t="s">
        <v>218</v>
      </c>
      <c r="AP50" s="102" t="s">
        <v>629</v>
      </c>
      <c r="AQ50" s="97">
        <f t="shared" si="16"/>
        <v>46168</v>
      </c>
      <c r="AR50" s="63">
        <f t="shared" si="15"/>
        <v>98310705</v>
      </c>
      <c r="AS50" s="64" t="str">
        <f t="shared" si="14"/>
        <v>MI NEGOCIO EFECTIVO  BANCO PICHINCHA</v>
      </c>
    </row>
    <row r="51" spans="1:50" ht="14.25" customHeight="1">
      <c r="A51" s="85">
        <v>10</v>
      </c>
      <c r="B51" s="85" t="s">
        <v>191</v>
      </c>
      <c r="C51" s="85" t="s">
        <v>192</v>
      </c>
      <c r="D51" s="86">
        <v>46154</v>
      </c>
      <c r="E51" s="85">
        <v>2077</v>
      </c>
      <c r="F51" s="85" t="s">
        <v>637</v>
      </c>
      <c r="G51" s="85" t="s">
        <v>557</v>
      </c>
      <c r="H51" s="85"/>
      <c r="I51" s="115" t="s">
        <v>638</v>
      </c>
      <c r="J51" s="85" t="s">
        <v>478</v>
      </c>
      <c r="K51" s="85"/>
      <c r="L51" s="85" t="s">
        <v>639</v>
      </c>
      <c r="M51" s="215" t="s">
        <v>640</v>
      </c>
      <c r="N51" s="234" t="s">
        <v>641</v>
      </c>
      <c r="O51" s="85" t="s">
        <v>642</v>
      </c>
      <c r="P51" s="85" t="s">
        <v>643</v>
      </c>
      <c r="Q51" s="85" t="s">
        <v>202</v>
      </c>
      <c r="R51" s="85" t="s">
        <v>203</v>
      </c>
      <c r="S51" s="85" t="s">
        <v>9</v>
      </c>
      <c r="T51" s="85" t="s">
        <v>9</v>
      </c>
      <c r="U51" s="85" t="s">
        <v>204</v>
      </c>
      <c r="V51" s="86"/>
      <c r="W51" s="85"/>
      <c r="X51" s="85"/>
      <c r="Y51" s="85"/>
      <c r="Z51" s="215"/>
      <c r="AA51" s="85"/>
      <c r="AB51" s="90"/>
      <c r="AC51" s="85">
        <f t="shared" si="10"/>
        <v>-46153</v>
      </c>
      <c r="AD51" s="89">
        <f t="shared" ref="AD51:AD82" si="18">IF(AB51="SERVICIO DE GARAJE LIVIANOS (HASTA 3,5 TN A EXCEPCIÓN DE MOTOCICLETAS) (DIARIOS)",3,IF(AB51="SERVICIO DE GARAJE PESADOS (DE 3,51 TN HASTA 12 TN) (DIARIOS)",9,IF(AB51="SERVICIO DE GARAJE (CENTROS DE RETENCIÓN) MOTOCICLETA",1,IF(AB51="SERVICIO DE GARAJE EXTRA PESADOS (MÁS DE 12 TN) (DIARIOS)",15,0))))</f>
        <v>0</v>
      </c>
      <c r="AE51" s="91">
        <f t="shared" si="11"/>
        <v>0</v>
      </c>
      <c r="AF51" s="89">
        <f t="shared" si="17"/>
        <v>0</v>
      </c>
      <c r="AG51" s="92"/>
      <c r="AH51" s="93"/>
      <c r="AI51" s="94"/>
      <c r="AJ51" s="90" t="str">
        <f t="shared" si="12"/>
        <v/>
      </c>
      <c r="AK51" s="85">
        <f t="shared" si="13"/>
        <v>2077</v>
      </c>
      <c r="AL51" s="85"/>
      <c r="AM51" s="85" t="s">
        <v>9</v>
      </c>
      <c r="AN51" s="95" t="s">
        <v>9</v>
      </c>
      <c r="AO51" s="96"/>
      <c r="AP51" s="96"/>
      <c r="AQ51" s="86">
        <f t="shared" si="16"/>
        <v>0</v>
      </c>
      <c r="AR51" s="93">
        <f t="shared" si="15"/>
        <v>0</v>
      </c>
      <c r="AS51" s="90" t="str">
        <f t="shared" si="14"/>
        <v/>
      </c>
      <c r="AT51" s="116"/>
      <c r="AU51" s="103"/>
      <c r="AV51" s="103"/>
      <c r="AW51" s="103"/>
      <c r="AX51" s="103"/>
    </row>
    <row r="52" spans="1:50" ht="14.25" customHeight="1">
      <c r="A52" s="62">
        <v>46</v>
      </c>
      <c r="B52" s="62" t="s">
        <v>191</v>
      </c>
      <c r="C52" s="62" t="s">
        <v>192</v>
      </c>
      <c r="D52" s="97">
        <v>46164</v>
      </c>
      <c r="E52" s="62">
        <v>2076</v>
      </c>
      <c r="F52" s="62" t="s">
        <v>644</v>
      </c>
      <c r="G52" s="62" t="s">
        <v>260</v>
      </c>
      <c r="H52" s="62" t="s">
        <v>294</v>
      </c>
      <c r="I52" s="64" t="s">
        <v>645</v>
      </c>
      <c r="J52" s="62" t="s">
        <v>209</v>
      </c>
      <c r="K52" s="62">
        <v>2026</v>
      </c>
      <c r="L52" s="62" t="s">
        <v>646</v>
      </c>
      <c r="M52" s="114">
        <v>77770110</v>
      </c>
      <c r="N52" s="114" t="s">
        <v>647</v>
      </c>
      <c r="O52" s="62" t="s">
        <v>648</v>
      </c>
      <c r="P52" s="62" t="s">
        <v>649</v>
      </c>
      <c r="Q52" s="62" t="s">
        <v>650</v>
      </c>
      <c r="R52" s="62" t="s">
        <v>9</v>
      </c>
      <c r="S52" s="62"/>
      <c r="T52" s="62"/>
      <c r="U52" s="62" t="s">
        <v>204</v>
      </c>
      <c r="V52" s="97">
        <v>46184</v>
      </c>
      <c r="W52" s="62" t="s">
        <v>651</v>
      </c>
      <c r="X52" s="62" t="s">
        <v>652</v>
      </c>
      <c r="Y52" s="62" t="str">
        <f>P52</f>
        <v>ALARCON GUERRERO HUGO LANDIVER</v>
      </c>
      <c r="Z52" s="114">
        <v>1250443957</v>
      </c>
      <c r="AA52" s="62">
        <v>98831481</v>
      </c>
      <c r="AB52" s="62" t="s">
        <v>216</v>
      </c>
      <c r="AC52" s="62">
        <f t="shared" si="10"/>
        <v>21</v>
      </c>
      <c r="AD52" s="98">
        <f t="shared" si="18"/>
        <v>9</v>
      </c>
      <c r="AE52" s="99">
        <f t="shared" si="11"/>
        <v>189</v>
      </c>
      <c r="AF52" s="98">
        <f t="shared" si="17"/>
        <v>98831481</v>
      </c>
      <c r="AG52" s="100">
        <v>46184</v>
      </c>
      <c r="AH52" s="63">
        <v>4921568</v>
      </c>
      <c r="AI52" s="101" t="s">
        <v>233</v>
      </c>
      <c r="AJ52" s="64" t="str">
        <f t="shared" si="12"/>
        <v>BANCO DEL PACIFICO</v>
      </c>
      <c r="AK52" s="62">
        <f t="shared" si="13"/>
        <v>2076</v>
      </c>
      <c r="AL52" s="62" t="s">
        <v>340</v>
      </c>
      <c r="AM52" s="62">
        <v>98764761</v>
      </c>
      <c r="AN52" s="108">
        <v>85</v>
      </c>
      <c r="AO52" s="102" t="s">
        <v>9</v>
      </c>
      <c r="AP52" s="102" t="s">
        <v>9</v>
      </c>
      <c r="AQ52" s="97">
        <f t="shared" si="16"/>
        <v>46184</v>
      </c>
      <c r="AR52" s="63">
        <f t="shared" si="15"/>
        <v>4921568</v>
      </c>
      <c r="AS52" s="64" t="str">
        <f t="shared" si="14"/>
        <v>BANCO DEL PACIFICO</v>
      </c>
      <c r="AT52" s="103"/>
    </row>
    <row r="53" spans="1:50" ht="14.25" customHeight="1">
      <c r="A53" s="62">
        <v>47</v>
      </c>
      <c r="B53" s="62" t="s">
        <v>191</v>
      </c>
      <c r="C53" s="62" t="s">
        <v>192</v>
      </c>
      <c r="D53" s="97">
        <v>46174</v>
      </c>
      <c r="E53" s="62">
        <v>2078</v>
      </c>
      <c r="F53" s="62" t="s">
        <v>653</v>
      </c>
      <c r="G53" s="62" t="s">
        <v>236</v>
      </c>
      <c r="H53" s="62" t="s">
        <v>222</v>
      </c>
      <c r="I53" s="64" t="s">
        <v>654</v>
      </c>
      <c r="J53" s="62" t="s">
        <v>478</v>
      </c>
      <c r="K53" s="62">
        <v>2016</v>
      </c>
      <c r="L53" s="62" t="s">
        <v>655</v>
      </c>
      <c r="M53" s="114" t="s">
        <v>656</v>
      </c>
      <c r="N53" s="114">
        <v>2.0260601092602501E+18</v>
      </c>
      <c r="O53" s="62" t="s">
        <v>451</v>
      </c>
      <c r="P53" s="62" t="s">
        <v>657</v>
      </c>
      <c r="Q53" s="62" t="s">
        <v>202</v>
      </c>
      <c r="R53" s="62" t="s">
        <v>203</v>
      </c>
      <c r="S53" s="62"/>
      <c r="T53" s="62"/>
      <c r="U53" s="62" t="s">
        <v>340</v>
      </c>
      <c r="V53" s="97">
        <v>46178</v>
      </c>
      <c r="W53" s="62" t="s">
        <v>658</v>
      </c>
      <c r="X53" s="62" t="s">
        <v>322</v>
      </c>
      <c r="Y53" s="62" t="str">
        <f>P53</f>
        <v>SUAREZ CONTRERA YANET MARYURU</v>
      </c>
      <c r="Z53" s="114" t="s">
        <v>659</v>
      </c>
      <c r="AA53" s="62">
        <v>98674599</v>
      </c>
      <c r="AB53" s="62" t="s">
        <v>216</v>
      </c>
      <c r="AC53" s="62">
        <f t="shared" si="10"/>
        <v>5</v>
      </c>
      <c r="AD53" s="98">
        <f t="shared" si="18"/>
        <v>9</v>
      </c>
      <c r="AE53" s="99">
        <f t="shared" si="11"/>
        <v>45</v>
      </c>
      <c r="AF53" s="98">
        <f t="shared" si="17"/>
        <v>98674599</v>
      </c>
      <c r="AG53" s="100">
        <v>46178</v>
      </c>
      <c r="AH53" s="63">
        <v>48646959</v>
      </c>
      <c r="AI53" s="101" t="s">
        <v>571</v>
      </c>
      <c r="AJ53" s="64" t="str">
        <f t="shared" si="12"/>
        <v>MI NEGOCIO EFECTIVO  BANCO PACIFICO</v>
      </c>
      <c r="AK53" s="62">
        <f t="shared" si="13"/>
        <v>2078</v>
      </c>
      <c r="AL53" s="62" t="s">
        <v>340</v>
      </c>
      <c r="AM53" s="62"/>
      <c r="AN53" s="108"/>
      <c r="AO53" s="102" t="s">
        <v>218</v>
      </c>
      <c r="AP53" s="102" t="s">
        <v>313</v>
      </c>
      <c r="AQ53" s="97">
        <f t="shared" si="16"/>
        <v>46178</v>
      </c>
      <c r="AR53" s="63">
        <v>48646959</v>
      </c>
      <c r="AS53" s="64" t="str">
        <f t="shared" si="14"/>
        <v>MI NEGOCIO EFECTIVO  BANCO PACIFICO</v>
      </c>
    </row>
    <row r="54" spans="1:50" ht="15" customHeight="1">
      <c r="A54" s="62">
        <v>48</v>
      </c>
      <c r="B54" s="62" t="s">
        <v>191</v>
      </c>
      <c r="C54" s="62" t="s">
        <v>192</v>
      </c>
      <c r="D54" s="97">
        <v>46190</v>
      </c>
      <c r="E54" s="62">
        <v>2079</v>
      </c>
      <c r="F54" s="62" t="s">
        <v>660</v>
      </c>
      <c r="G54" s="62" t="s">
        <v>661</v>
      </c>
      <c r="H54" s="103" t="s">
        <v>222</v>
      </c>
      <c r="I54" s="121" t="s">
        <v>662</v>
      </c>
      <c r="J54" s="62" t="s">
        <v>239</v>
      </c>
      <c r="K54" s="62">
        <v>2014</v>
      </c>
      <c r="L54" s="62" t="s">
        <v>663</v>
      </c>
      <c r="M54" s="225">
        <v>71027389</v>
      </c>
      <c r="N54" s="114" t="s">
        <v>664</v>
      </c>
      <c r="O54" s="62" t="s">
        <v>665</v>
      </c>
      <c r="P54" s="62" t="s">
        <v>666</v>
      </c>
      <c r="Q54" s="62" t="s">
        <v>650</v>
      </c>
      <c r="R54" s="62" t="s">
        <v>9</v>
      </c>
      <c r="S54" s="62" t="s">
        <v>9</v>
      </c>
      <c r="T54" s="62" t="s">
        <v>9</v>
      </c>
      <c r="U54" s="62" t="s">
        <v>538</v>
      </c>
      <c r="V54" s="97">
        <v>46204</v>
      </c>
      <c r="W54" s="62" t="s">
        <v>667</v>
      </c>
      <c r="X54" s="62" t="s">
        <v>350</v>
      </c>
      <c r="Y54" s="62" t="str">
        <f>P54</f>
        <v>HECTOR ISRAEL BABAYO HARO</v>
      </c>
      <c r="Z54" s="114">
        <v>1803891226</v>
      </c>
      <c r="AA54" s="62">
        <v>99317114</v>
      </c>
      <c r="AB54" s="62" t="s">
        <v>258</v>
      </c>
      <c r="AC54" s="62">
        <f t="shared" si="10"/>
        <v>15</v>
      </c>
      <c r="AD54" s="98">
        <f t="shared" si="18"/>
        <v>15</v>
      </c>
      <c r="AE54" s="99">
        <f t="shared" si="11"/>
        <v>225</v>
      </c>
      <c r="AF54" s="98">
        <f t="shared" si="17"/>
        <v>99317114</v>
      </c>
      <c r="AG54" s="100">
        <v>46204</v>
      </c>
      <c r="AH54" s="63">
        <v>99317114</v>
      </c>
      <c r="AI54" s="101" t="s">
        <v>668</v>
      </c>
      <c r="AJ54" s="64" t="str">
        <f t="shared" si="12"/>
        <v>BANCO PICHINCHA</v>
      </c>
      <c r="AK54" s="62">
        <f t="shared" si="13"/>
        <v>2079</v>
      </c>
      <c r="AL54" s="62" t="s">
        <v>669</v>
      </c>
      <c r="AM54" s="62" t="s">
        <v>9</v>
      </c>
      <c r="AN54" s="108" t="s">
        <v>9</v>
      </c>
      <c r="AO54" s="102" t="s">
        <v>9</v>
      </c>
      <c r="AP54" s="102" t="s">
        <v>9</v>
      </c>
      <c r="AQ54" s="97">
        <f t="shared" si="16"/>
        <v>46204</v>
      </c>
      <c r="AR54" s="63">
        <f t="shared" ref="AR54:AR85" si="19">AH54</f>
        <v>99317114</v>
      </c>
      <c r="AS54" s="64" t="str">
        <f t="shared" si="14"/>
        <v>BANCO PICHINCHA</v>
      </c>
    </row>
    <row r="55" spans="1:50" ht="14.25" customHeight="1">
      <c r="A55" s="62">
        <v>49</v>
      </c>
      <c r="B55" s="62" t="s">
        <v>191</v>
      </c>
      <c r="C55" s="62" t="s">
        <v>192</v>
      </c>
      <c r="D55" s="97">
        <v>46190</v>
      </c>
      <c r="E55" s="62">
        <v>2080</v>
      </c>
      <c r="F55" s="62" t="s">
        <v>670</v>
      </c>
      <c r="G55" s="62" t="s">
        <v>372</v>
      </c>
      <c r="H55" s="62" t="s">
        <v>671</v>
      </c>
      <c r="I55" s="64" t="s">
        <v>672</v>
      </c>
      <c r="J55" s="62" t="s">
        <v>458</v>
      </c>
      <c r="K55" s="62"/>
      <c r="L55" s="62" t="s">
        <v>673</v>
      </c>
      <c r="M55" s="114" t="s">
        <v>674</v>
      </c>
      <c r="N55" s="114" t="s">
        <v>675</v>
      </c>
      <c r="O55" s="62" t="s">
        <v>625</v>
      </c>
      <c r="P55" s="62" t="s">
        <v>676</v>
      </c>
      <c r="Q55" s="62" t="s">
        <v>202</v>
      </c>
      <c r="R55" s="62" t="s">
        <v>203</v>
      </c>
      <c r="S55" s="62"/>
      <c r="T55" s="62"/>
      <c r="U55" s="62" t="s">
        <v>538</v>
      </c>
      <c r="V55" s="97">
        <v>46192</v>
      </c>
      <c r="W55" s="62" t="s">
        <v>677</v>
      </c>
      <c r="X55" s="62" t="s">
        <v>678</v>
      </c>
      <c r="Y55" s="62" t="str">
        <f>P55</f>
        <v>MOYA GOMEZ JOSE DANIEL</v>
      </c>
      <c r="Z55" s="114">
        <v>1721611174</v>
      </c>
      <c r="AA55" s="62">
        <v>99041653</v>
      </c>
      <c r="AB55" s="62" t="s">
        <v>258</v>
      </c>
      <c r="AC55" s="62">
        <f t="shared" si="10"/>
        <v>3</v>
      </c>
      <c r="AD55" s="98">
        <f t="shared" si="18"/>
        <v>15</v>
      </c>
      <c r="AE55" s="99">
        <f t="shared" si="11"/>
        <v>45</v>
      </c>
      <c r="AF55" s="98">
        <f t="shared" si="17"/>
        <v>99041653</v>
      </c>
      <c r="AG55" s="100">
        <v>46182</v>
      </c>
      <c r="AH55" s="63">
        <v>99044653</v>
      </c>
      <c r="AI55" s="101" t="s">
        <v>370</v>
      </c>
      <c r="AJ55" s="64" t="str">
        <f t="shared" si="12"/>
        <v>MI NEGOCIO EFECTIVO  BANCO PICHINCHA</v>
      </c>
      <c r="AK55" s="62">
        <f t="shared" si="13"/>
        <v>2080</v>
      </c>
      <c r="AL55" s="62" t="s">
        <v>204</v>
      </c>
      <c r="AM55" s="62"/>
      <c r="AN55" s="108"/>
      <c r="AO55" s="102" t="s">
        <v>218</v>
      </c>
      <c r="AP55" s="102" t="s">
        <v>396</v>
      </c>
      <c r="AQ55" s="97">
        <f t="shared" si="16"/>
        <v>46182</v>
      </c>
      <c r="AR55" s="63">
        <f t="shared" si="19"/>
        <v>99044653</v>
      </c>
      <c r="AS55" s="64" t="str">
        <f t="shared" si="14"/>
        <v>MI NEGOCIO EFECTIVO  BANCO PICHINCHA</v>
      </c>
      <c r="AT55" s="103"/>
    </row>
    <row r="56" spans="1:50" s="214" customFormat="1" ht="14.25" customHeight="1">
      <c r="A56" s="198">
        <v>50</v>
      </c>
      <c r="B56" s="198" t="s">
        <v>191</v>
      </c>
      <c r="C56" s="198" t="s">
        <v>192</v>
      </c>
      <c r="D56" s="202">
        <v>46191</v>
      </c>
      <c r="E56" s="198">
        <v>2081</v>
      </c>
      <c r="F56" s="5" t="s">
        <v>679</v>
      </c>
      <c r="G56" s="198" t="s">
        <v>680</v>
      </c>
      <c r="H56" s="203" t="s">
        <v>237</v>
      </c>
      <c r="I56" s="250" t="s">
        <v>681</v>
      </c>
      <c r="J56" s="198" t="s">
        <v>209</v>
      </c>
      <c r="K56" s="198">
        <v>2023</v>
      </c>
      <c r="L56" s="198" t="s">
        <v>682</v>
      </c>
      <c r="M56" s="217" t="s">
        <v>683</v>
      </c>
      <c r="N56" s="217" t="s">
        <v>684</v>
      </c>
      <c r="O56" s="198" t="s">
        <v>560</v>
      </c>
      <c r="P56" s="198" t="s">
        <v>685</v>
      </c>
      <c r="Q56" s="198" t="s">
        <v>202</v>
      </c>
      <c r="R56" s="198" t="s">
        <v>203</v>
      </c>
      <c r="S56" s="198" t="s">
        <v>9</v>
      </c>
      <c r="T56" s="198" t="s">
        <v>9</v>
      </c>
      <c r="U56" s="198" t="s">
        <v>204</v>
      </c>
      <c r="V56" s="202">
        <v>46235</v>
      </c>
      <c r="W56" s="206" t="s">
        <v>686</v>
      </c>
      <c r="X56" s="198" t="s">
        <v>678</v>
      </c>
      <c r="Y56" s="198" t="s">
        <v>687</v>
      </c>
      <c r="Z56" s="217" t="s">
        <v>688</v>
      </c>
      <c r="AA56" s="198">
        <v>100233456</v>
      </c>
      <c r="AB56" s="198" t="s">
        <v>216</v>
      </c>
      <c r="AC56" s="198">
        <f t="shared" si="10"/>
        <v>45</v>
      </c>
      <c r="AD56" s="205">
        <f t="shared" si="18"/>
        <v>9</v>
      </c>
      <c r="AE56" s="207">
        <f t="shared" si="11"/>
        <v>405</v>
      </c>
      <c r="AF56" s="205">
        <f t="shared" si="17"/>
        <v>100233456</v>
      </c>
      <c r="AG56" s="208">
        <v>46235</v>
      </c>
      <c r="AH56" s="209">
        <v>202608012320820</v>
      </c>
      <c r="AI56" s="210" t="s">
        <v>233</v>
      </c>
      <c r="AJ56" s="211" t="str">
        <f t="shared" si="12"/>
        <v>BANCO DEL PACIFICO</v>
      </c>
      <c r="AK56" s="198">
        <f t="shared" si="13"/>
        <v>2081</v>
      </c>
      <c r="AL56" s="198" t="s">
        <v>204</v>
      </c>
      <c r="AM56" s="198" t="s">
        <v>9</v>
      </c>
      <c r="AN56" s="212" t="s">
        <v>9</v>
      </c>
      <c r="AO56" s="213" t="s">
        <v>218</v>
      </c>
      <c r="AP56" s="213" t="s">
        <v>689</v>
      </c>
      <c r="AQ56" s="202">
        <f t="shared" si="16"/>
        <v>46235</v>
      </c>
      <c r="AR56" s="209">
        <f t="shared" si="19"/>
        <v>202608012320820</v>
      </c>
      <c r="AS56" s="211" t="str">
        <f t="shared" si="14"/>
        <v>BANCO DEL PACIFICO</v>
      </c>
    </row>
    <row r="57" spans="1:50" ht="14.25" customHeight="1">
      <c r="A57" s="122">
        <v>51</v>
      </c>
      <c r="B57" s="122" t="s">
        <v>191</v>
      </c>
      <c r="C57" s="122" t="s">
        <v>192</v>
      </c>
      <c r="D57" s="123">
        <v>46191</v>
      </c>
      <c r="E57" s="122">
        <v>2082</v>
      </c>
      <c r="F57" s="122" t="s">
        <v>690</v>
      </c>
      <c r="G57" s="122" t="s">
        <v>260</v>
      </c>
      <c r="H57" s="122"/>
      <c r="I57" s="129" t="s">
        <v>691</v>
      </c>
      <c r="J57" s="122" t="s">
        <v>209</v>
      </c>
      <c r="K57" s="122"/>
      <c r="L57" s="122" t="s">
        <v>692</v>
      </c>
      <c r="M57" s="216">
        <v>250307806307</v>
      </c>
      <c r="N57" s="216" t="s">
        <v>684</v>
      </c>
      <c r="O57" s="122" t="s">
        <v>560</v>
      </c>
      <c r="P57" s="122" t="s">
        <v>693</v>
      </c>
      <c r="Q57" s="122" t="s">
        <v>202</v>
      </c>
      <c r="R57" s="122" t="s">
        <v>203</v>
      </c>
      <c r="S57" s="122"/>
      <c r="T57" s="122"/>
      <c r="U57" s="122" t="s">
        <v>204</v>
      </c>
      <c r="V57" s="123"/>
      <c r="W57" s="122"/>
      <c r="X57" s="122"/>
      <c r="Y57" s="122" t="str">
        <f>P57</f>
        <v>ORTIZ GARCIA VALERIA ALEJANDRA</v>
      </c>
      <c r="Z57" s="216"/>
      <c r="AA57" s="122"/>
      <c r="AB57" s="122"/>
      <c r="AC57" s="122">
        <f t="shared" si="10"/>
        <v>-46190</v>
      </c>
      <c r="AD57" s="124">
        <f t="shared" si="18"/>
        <v>0</v>
      </c>
      <c r="AE57" s="125">
        <f t="shared" si="11"/>
        <v>0</v>
      </c>
      <c r="AF57" s="124">
        <f t="shared" si="17"/>
        <v>0</v>
      </c>
      <c r="AG57" s="126"/>
      <c r="AH57" s="127"/>
      <c r="AI57" s="128"/>
      <c r="AJ57" s="129" t="str">
        <f t="shared" si="12"/>
        <v/>
      </c>
      <c r="AK57" s="122">
        <f t="shared" si="13"/>
        <v>2082</v>
      </c>
      <c r="AL57" s="122"/>
      <c r="AM57" s="122"/>
      <c r="AN57" s="130"/>
      <c r="AO57" s="131"/>
      <c r="AP57" s="131"/>
      <c r="AQ57" s="123">
        <f t="shared" si="16"/>
        <v>0</v>
      </c>
      <c r="AR57" s="127">
        <f t="shared" si="19"/>
        <v>0</v>
      </c>
      <c r="AS57" s="129" t="str">
        <f t="shared" si="14"/>
        <v/>
      </c>
    </row>
    <row r="58" spans="1:50" ht="15" customHeight="1">
      <c r="A58" s="5">
        <v>52</v>
      </c>
      <c r="B58" s="5" t="s">
        <v>191</v>
      </c>
      <c r="C58" s="5" t="s">
        <v>192</v>
      </c>
      <c r="D58" s="2">
        <v>46199</v>
      </c>
      <c r="E58" s="5">
        <v>2083</v>
      </c>
      <c r="F58" s="5" t="s">
        <v>694</v>
      </c>
      <c r="G58" s="5" t="s">
        <v>236</v>
      </c>
      <c r="H58" s="10" t="s">
        <v>222</v>
      </c>
      <c r="I58" s="199" t="s">
        <v>695</v>
      </c>
      <c r="J58" s="5" t="s">
        <v>196</v>
      </c>
      <c r="K58" s="5">
        <v>2014</v>
      </c>
      <c r="L58" s="5" t="s">
        <v>696</v>
      </c>
      <c r="M58" s="226" t="s">
        <v>697</v>
      </c>
      <c r="N58" s="165" t="s">
        <v>698</v>
      </c>
      <c r="O58" s="5" t="s">
        <v>699</v>
      </c>
      <c r="P58" s="5" t="s">
        <v>700</v>
      </c>
      <c r="Q58" s="5" t="s">
        <v>202</v>
      </c>
      <c r="R58" s="5" t="s">
        <v>203</v>
      </c>
      <c r="S58" s="5"/>
      <c r="T58" s="5"/>
      <c r="U58" s="5" t="s">
        <v>669</v>
      </c>
      <c r="V58" s="2">
        <v>46210</v>
      </c>
      <c r="W58" s="5" t="s">
        <v>701</v>
      </c>
      <c r="X58" s="5" t="s">
        <v>678</v>
      </c>
      <c r="Y58" s="5" t="str">
        <f>P58</f>
        <v>CEDEÑO YANEZ HUGO FABIAN</v>
      </c>
      <c r="Z58" s="165">
        <v>1309276648</v>
      </c>
      <c r="AA58" s="5">
        <v>99465612</v>
      </c>
      <c r="AB58" s="5" t="s">
        <v>216</v>
      </c>
      <c r="AC58" s="5">
        <f t="shared" si="10"/>
        <v>12</v>
      </c>
      <c r="AD58" s="66">
        <f t="shared" si="18"/>
        <v>9</v>
      </c>
      <c r="AE58" s="200">
        <f t="shared" si="11"/>
        <v>108</v>
      </c>
      <c r="AF58" s="66">
        <f t="shared" si="17"/>
        <v>99465612</v>
      </c>
      <c r="AG58" s="68">
        <v>46210</v>
      </c>
      <c r="AH58" s="69">
        <v>25646805</v>
      </c>
      <c r="AI58" s="201" t="s">
        <v>282</v>
      </c>
      <c r="AJ58" s="65" t="str">
        <f t="shared" si="12"/>
        <v>BANCO DEL PICHINCHA</v>
      </c>
      <c r="AK58" s="5">
        <f t="shared" si="13"/>
        <v>2083</v>
      </c>
      <c r="AL58" s="5" t="s">
        <v>669</v>
      </c>
      <c r="AM58" s="5" t="s">
        <v>9</v>
      </c>
      <c r="AN58" s="71" t="s">
        <v>9</v>
      </c>
      <c r="AO58" s="70" t="s">
        <v>218</v>
      </c>
      <c r="AP58" s="70" t="s">
        <v>313</v>
      </c>
      <c r="AQ58" s="2">
        <f t="shared" si="16"/>
        <v>46210</v>
      </c>
      <c r="AR58" s="69">
        <f t="shared" si="19"/>
        <v>25646805</v>
      </c>
      <c r="AS58" s="65" t="str">
        <f t="shared" si="14"/>
        <v>BANCO DEL PICHINCHA</v>
      </c>
    </row>
    <row r="59" spans="1:50" ht="14.25" customHeight="1">
      <c r="A59" s="62">
        <v>53</v>
      </c>
      <c r="B59" s="62" t="s">
        <v>191</v>
      </c>
      <c r="C59" s="62" t="s">
        <v>192</v>
      </c>
      <c r="D59" s="97">
        <v>46200</v>
      </c>
      <c r="E59" s="62">
        <v>2084</v>
      </c>
      <c r="F59" s="62" t="s">
        <v>702</v>
      </c>
      <c r="G59" s="62" t="s">
        <v>236</v>
      </c>
      <c r="H59" s="62" t="s">
        <v>274</v>
      </c>
      <c r="I59" s="64" t="s">
        <v>703</v>
      </c>
      <c r="J59" s="62" t="s">
        <v>209</v>
      </c>
      <c r="K59" s="62">
        <v>2011</v>
      </c>
      <c r="L59" s="62" t="s">
        <v>704</v>
      </c>
      <c r="M59" s="114" t="s">
        <v>705</v>
      </c>
      <c r="N59" s="114" t="s">
        <v>706</v>
      </c>
      <c r="O59" s="62" t="s">
        <v>707</v>
      </c>
      <c r="P59" s="62" t="s">
        <v>708</v>
      </c>
      <c r="Q59" s="62" t="s">
        <v>492</v>
      </c>
      <c r="R59" s="62" t="s">
        <v>9</v>
      </c>
      <c r="S59" s="62" t="s">
        <v>9</v>
      </c>
      <c r="T59" s="62" t="s">
        <v>9</v>
      </c>
      <c r="U59" s="62" t="s">
        <v>669</v>
      </c>
      <c r="V59" s="97">
        <v>46202</v>
      </c>
      <c r="W59" s="62" t="s">
        <v>393</v>
      </c>
      <c r="X59" s="62"/>
      <c r="Y59" s="62" t="str">
        <f>P59</f>
        <v>JOSE MARIO ZAMBRANO MENDOZA</v>
      </c>
      <c r="Z59" s="114">
        <v>1715321350</v>
      </c>
      <c r="AA59" s="62">
        <v>99244944</v>
      </c>
      <c r="AB59" s="62" t="s">
        <v>216</v>
      </c>
      <c r="AC59" s="62">
        <f t="shared" si="10"/>
        <v>3</v>
      </c>
      <c r="AD59" s="98">
        <f t="shared" si="18"/>
        <v>9</v>
      </c>
      <c r="AE59" s="99">
        <f t="shared" si="11"/>
        <v>27</v>
      </c>
      <c r="AF59" s="98">
        <f t="shared" si="17"/>
        <v>99244944</v>
      </c>
      <c r="AG59" s="100">
        <v>46202</v>
      </c>
      <c r="AH59" s="63">
        <v>99244944</v>
      </c>
      <c r="AI59" s="101" t="s">
        <v>248</v>
      </c>
      <c r="AJ59" s="64" t="str">
        <f t="shared" si="12"/>
        <v>MI NEGOCIO EFECTIVO</v>
      </c>
      <c r="AK59" s="62">
        <f t="shared" si="13"/>
        <v>2084</v>
      </c>
      <c r="AL59" s="62" t="s">
        <v>669</v>
      </c>
      <c r="AM59" s="62"/>
      <c r="AN59" s="62"/>
      <c r="AO59" s="102"/>
      <c r="AP59" s="102"/>
      <c r="AQ59" s="97">
        <f t="shared" si="16"/>
        <v>46202</v>
      </c>
      <c r="AR59" s="63">
        <f t="shared" si="19"/>
        <v>99244944</v>
      </c>
      <c r="AS59" s="64" t="str">
        <f t="shared" si="14"/>
        <v>MI NEGOCIO EFECTIVO</v>
      </c>
    </row>
    <row r="60" spans="1:50" s="214" customFormat="1" ht="15" customHeight="1">
      <c r="A60" s="198">
        <v>54</v>
      </c>
      <c r="B60" s="198" t="s">
        <v>191</v>
      </c>
      <c r="C60" s="198" t="s">
        <v>192</v>
      </c>
      <c r="D60" s="202">
        <v>46200</v>
      </c>
      <c r="E60" s="198">
        <v>2085</v>
      </c>
      <c r="F60" s="198" t="s">
        <v>709</v>
      </c>
      <c r="G60" s="198" t="s">
        <v>236</v>
      </c>
      <c r="H60" s="198" t="s">
        <v>408</v>
      </c>
      <c r="I60" s="211" t="s">
        <v>710</v>
      </c>
      <c r="J60" s="198" t="s">
        <v>196</v>
      </c>
      <c r="K60" s="198">
        <v>2020</v>
      </c>
      <c r="L60" s="198" t="s">
        <v>711</v>
      </c>
      <c r="M60" s="227" t="s">
        <v>712</v>
      </c>
      <c r="N60" s="217" t="s">
        <v>713</v>
      </c>
      <c r="O60" s="198" t="s">
        <v>714</v>
      </c>
      <c r="P60" s="198" t="s">
        <v>715</v>
      </c>
      <c r="Q60" s="198" t="s">
        <v>716</v>
      </c>
      <c r="R60" s="198" t="s">
        <v>9</v>
      </c>
      <c r="S60" s="198" t="s">
        <v>9</v>
      </c>
      <c r="T60" s="198" t="s">
        <v>9</v>
      </c>
      <c r="U60" s="198" t="s">
        <v>669</v>
      </c>
      <c r="V60" s="220">
        <v>46218</v>
      </c>
      <c r="W60" s="206" t="s">
        <v>717</v>
      </c>
      <c r="X60" s="198" t="s">
        <v>678</v>
      </c>
      <c r="Y60" s="198" t="s">
        <v>718</v>
      </c>
      <c r="Z60" s="217" t="s">
        <v>719</v>
      </c>
      <c r="AA60" s="198">
        <v>99680762</v>
      </c>
      <c r="AB60" s="198" t="s">
        <v>258</v>
      </c>
      <c r="AC60" s="198">
        <f t="shared" si="10"/>
        <v>19</v>
      </c>
      <c r="AD60" s="205">
        <f t="shared" si="18"/>
        <v>15</v>
      </c>
      <c r="AE60" s="207">
        <f t="shared" si="11"/>
        <v>285</v>
      </c>
      <c r="AF60" s="205">
        <f t="shared" si="17"/>
        <v>99680762</v>
      </c>
      <c r="AG60" s="208">
        <v>46208</v>
      </c>
      <c r="AH60" s="209">
        <v>99680762</v>
      </c>
      <c r="AI60" s="210" t="s">
        <v>248</v>
      </c>
      <c r="AJ60" s="211" t="str">
        <f t="shared" si="12"/>
        <v>MI NEGOCIO EFECTIVO</v>
      </c>
      <c r="AK60" s="198">
        <f t="shared" si="13"/>
        <v>2085</v>
      </c>
      <c r="AL60" s="198" t="s">
        <v>204</v>
      </c>
      <c r="AM60" s="198" t="s">
        <v>9</v>
      </c>
      <c r="AN60" s="212" t="s">
        <v>9</v>
      </c>
      <c r="AO60" s="213" t="s">
        <v>9</v>
      </c>
      <c r="AP60" s="213" t="s">
        <v>9</v>
      </c>
      <c r="AQ60" s="202">
        <f t="shared" si="16"/>
        <v>46208</v>
      </c>
      <c r="AR60" s="209">
        <f t="shared" si="19"/>
        <v>99680762</v>
      </c>
      <c r="AS60" s="211" t="str">
        <f t="shared" si="14"/>
        <v>MI NEGOCIO EFECTIVO</v>
      </c>
    </row>
    <row r="61" spans="1:50" s="214" customFormat="1" ht="15" customHeight="1">
      <c r="A61" s="198">
        <v>55</v>
      </c>
      <c r="B61" s="198" t="s">
        <v>191</v>
      </c>
      <c r="C61" s="198" t="s">
        <v>192</v>
      </c>
      <c r="D61" s="202">
        <v>46203</v>
      </c>
      <c r="E61" s="198">
        <v>2086</v>
      </c>
      <c r="F61" s="198" t="s">
        <v>720</v>
      </c>
      <c r="G61" s="198" t="s">
        <v>260</v>
      </c>
      <c r="H61" s="203" t="s">
        <v>274</v>
      </c>
      <c r="I61" s="204" t="s">
        <v>721</v>
      </c>
      <c r="J61" s="198" t="s">
        <v>209</v>
      </c>
      <c r="K61" s="198">
        <v>2023</v>
      </c>
      <c r="L61" s="198" t="s">
        <v>722</v>
      </c>
      <c r="M61" s="227" t="s">
        <v>723</v>
      </c>
      <c r="N61" s="217" t="s">
        <v>724</v>
      </c>
      <c r="O61" s="198" t="s">
        <v>535</v>
      </c>
      <c r="P61" s="198" t="s">
        <v>725</v>
      </c>
      <c r="Q61" s="198" t="s">
        <v>492</v>
      </c>
      <c r="R61" s="198" t="s">
        <v>9</v>
      </c>
      <c r="S61" s="198" t="s">
        <v>9</v>
      </c>
      <c r="T61" s="198" t="s">
        <v>9</v>
      </c>
      <c r="U61" s="198" t="s">
        <v>204</v>
      </c>
      <c r="V61" s="202">
        <v>46211</v>
      </c>
      <c r="W61" s="206" t="s">
        <v>726</v>
      </c>
      <c r="X61" s="198" t="s">
        <v>678</v>
      </c>
      <c r="Y61" s="198" t="str">
        <f>P61</f>
        <v>ARMIJOS GODOY JAHANNA NOEMI</v>
      </c>
      <c r="Z61" s="217" t="s">
        <v>727</v>
      </c>
      <c r="AA61" s="198">
        <v>99487913</v>
      </c>
      <c r="AB61" s="198" t="s">
        <v>258</v>
      </c>
      <c r="AC61" s="198">
        <f t="shared" si="10"/>
        <v>9</v>
      </c>
      <c r="AD61" s="205">
        <f t="shared" si="18"/>
        <v>15</v>
      </c>
      <c r="AE61" s="207">
        <f t="shared" si="11"/>
        <v>135</v>
      </c>
      <c r="AF61" s="205">
        <f t="shared" si="17"/>
        <v>99487913</v>
      </c>
      <c r="AG61" s="208">
        <v>46211</v>
      </c>
      <c r="AH61" s="209">
        <v>8154364</v>
      </c>
      <c r="AI61" s="210" t="s">
        <v>668</v>
      </c>
      <c r="AJ61" s="211" t="str">
        <f t="shared" si="12"/>
        <v>BANCO PICHINCHA</v>
      </c>
      <c r="AK61" s="198">
        <f t="shared" si="13"/>
        <v>2086</v>
      </c>
      <c r="AL61" s="198" t="s">
        <v>204</v>
      </c>
      <c r="AM61" s="198"/>
      <c r="AN61" s="212"/>
      <c r="AO61" s="213" t="s">
        <v>9</v>
      </c>
      <c r="AP61" s="213" t="s">
        <v>9</v>
      </c>
      <c r="AQ61" s="202">
        <f t="shared" si="16"/>
        <v>46211</v>
      </c>
      <c r="AR61" s="209">
        <f t="shared" si="19"/>
        <v>8154364</v>
      </c>
      <c r="AS61" s="211" t="str">
        <f t="shared" si="14"/>
        <v>BANCO PICHINCHA</v>
      </c>
    </row>
    <row r="62" spans="1:50" s="214" customFormat="1" ht="14.25" customHeight="1">
      <c r="A62" s="206">
        <v>56</v>
      </c>
      <c r="B62" s="206" t="s">
        <v>191</v>
      </c>
      <c r="C62" s="206" t="s">
        <v>192</v>
      </c>
      <c r="D62" s="235">
        <v>46209</v>
      </c>
      <c r="E62" s="206">
        <v>2087</v>
      </c>
      <c r="F62" s="206" t="s">
        <v>728</v>
      </c>
      <c r="G62" s="206" t="s">
        <v>303</v>
      </c>
      <c r="H62" s="206" t="s">
        <v>304</v>
      </c>
      <c r="I62" s="236" t="s">
        <v>729</v>
      </c>
      <c r="J62" s="237" t="s">
        <v>196</v>
      </c>
      <c r="K62" s="237">
        <v>2013</v>
      </c>
      <c r="L62" s="237" t="s">
        <v>730</v>
      </c>
      <c r="M62" s="238">
        <v>79602151</v>
      </c>
      <c r="N62" s="239" t="s">
        <v>731</v>
      </c>
      <c r="O62" s="206" t="s">
        <v>732</v>
      </c>
      <c r="P62" s="237" t="s">
        <v>733</v>
      </c>
      <c r="Q62" s="198" t="s">
        <v>202</v>
      </c>
      <c r="R62" s="206" t="s">
        <v>203</v>
      </c>
      <c r="S62" s="206" t="s">
        <v>9</v>
      </c>
      <c r="T62" s="206" t="s">
        <v>9</v>
      </c>
      <c r="U62" s="206" t="s">
        <v>204</v>
      </c>
      <c r="V62" s="235">
        <v>46215</v>
      </c>
      <c r="W62" s="206" t="s">
        <v>734</v>
      </c>
      <c r="X62" s="206" t="s">
        <v>350</v>
      </c>
      <c r="Y62" s="206" t="str">
        <f>P62</f>
        <v>GUERRA NARVAEZ YOLANDA ROSARIO</v>
      </c>
      <c r="Z62" s="240" t="s">
        <v>735</v>
      </c>
      <c r="AA62" s="206">
        <v>99586702</v>
      </c>
      <c r="AB62" s="206" t="s">
        <v>258</v>
      </c>
      <c r="AC62" s="206">
        <f t="shared" si="10"/>
        <v>7</v>
      </c>
      <c r="AD62" s="241">
        <f t="shared" si="18"/>
        <v>15</v>
      </c>
      <c r="AE62" s="242">
        <f t="shared" si="11"/>
        <v>105</v>
      </c>
      <c r="AF62" s="241">
        <f t="shared" si="17"/>
        <v>99586702</v>
      </c>
      <c r="AG62" s="243">
        <v>46213</v>
      </c>
      <c r="AH62" s="244">
        <v>995867702</v>
      </c>
      <c r="AI62" s="245" t="s">
        <v>248</v>
      </c>
      <c r="AJ62" s="246" t="str">
        <f t="shared" si="12"/>
        <v>MI NEGOCIO EFECTIVO</v>
      </c>
      <c r="AK62" s="206">
        <f t="shared" si="13"/>
        <v>2087</v>
      </c>
      <c r="AL62" s="206" t="s">
        <v>736</v>
      </c>
      <c r="AM62" s="206" t="s">
        <v>9</v>
      </c>
      <c r="AN62" s="247" t="s">
        <v>9</v>
      </c>
      <c r="AO62" s="248" t="s">
        <v>218</v>
      </c>
      <c r="AP62" s="248" t="s">
        <v>234</v>
      </c>
      <c r="AQ62" s="235">
        <f t="shared" si="16"/>
        <v>46213</v>
      </c>
      <c r="AR62" s="244">
        <f t="shared" si="19"/>
        <v>995867702</v>
      </c>
      <c r="AS62" s="246" t="str">
        <f t="shared" si="14"/>
        <v>MI NEGOCIO EFECTIVO</v>
      </c>
    </row>
    <row r="63" spans="1:50" s="214" customFormat="1" ht="14.25" customHeight="1">
      <c r="A63" s="206">
        <v>57</v>
      </c>
      <c r="B63" s="206" t="s">
        <v>191</v>
      </c>
      <c r="C63" s="206" t="s">
        <v>192</v>
      </c>
      <c r="D63" s="235">
        <v>46212</v>
      </c>
      <c r="E63" s="206">
        <v>2088</v>
      </c>
      <c r="F63" s="206" t="s">
        <v>737</v>
      </c>
      <c r="G63" s="206" t="s">
        <v>236</v>
      </c>
      <c r="H63" s="206" t="s">
        <v>274</v>
      </c>
      <c r="I63" s="236" t="s">
        <v>468</v>
      </c>
      <c r="J63" s="206" t="s">
        <v>209</v>
      </c>
      <c r="K63" s="206">
        <v>2007</v>
      </c>
      <c r="L63" s="214" t="s">
        <v>738</v>
      </c>
      <c r="M63" s="236" t="s">
        <v>739</v>
      </c>
      <c r="N63" s="240" t="s">
        <v>740</v>
      </c>
      <c r="O63" s="206" t="s">
        <v>741</v>
      </c>
      <c r="P63" s="206" t="s">
        <v>742</v>
      </c>
      <c r="Q63" s="206" t="s">
        <v>492</v>
      </c>
      <c r="R63" s="206" t="s">
        <v>9</v>
      </c>
      <c r="S63" s="206" t="s">
        <v>9</v>
      </c>
      <c r="T63" s="206" t="s">
        <v>9</v>
      </c>
      <c r="U63" s="206" t="s">
        <v>669</v>
      </c>
      <c r="V63" s="235">
        <v>46223</v>
      </c>
      <c r="W63" s="206" t="s">
        <v>9</v>
      </c>
      <c r="X63" s="206" t="s">
        <v>678</v>
      </c>
      <c r="Y63" s="206" t="str">
        <f>P63</f>
        <v>CABSCANGO CHAVEZ LUIS GERMAN</v>
      </c>
      <c r="Z63" s="240" t="s">
        <v>743</v>
      </c>
      <c r="AA63" s="206">
        <v>998363245</v>
      </c>
      <c r="AB63" s="206" t="s">
        <v>216</v>
      </c>
      <c r="AC63" s="206">
        <f t="shared" si="10"/>
        <v>12</v>
      </c>
      <c r="AD63" s="241">
        <f t="shared" si="18"/>
        <v>9</v>
      </c>
      <c r="AE63" s="242">
        <f t="shared" si="11"/>
        <v>108</v>
      </c>
      <c r="AF63" s="241">
        <f t="shared" si="17"/>
        <v>998363245</v>
      </c>
      <c r="AG63" s="243">
        <v>46223</v>
      </c>
      <c r="AH63" s="244">
        <v>99836324</v>
      </c>
      <c r="AI63" s="245" t="s">
        <v>248</v>
      </c>
      <c r="AJ63" s="246" t="str">
        <f t="shared" si="12"/>
        <v>MI NEGOCIO EFECTIVO</v>
      </c>
      <c r="AK63" s="206">
        <f t="shared" si="13"/>
        <v>2088</v>
      </c>
      <c r="AL63" s="206" t="s">
        <v>204</v>
      </c>
      <c r="AM63" s="206" t="s">
        <v>9</v>
      </c>
      <c r="AN63" s="206" t="s">
        <v>9</v>
      </c>
      <c r="AO63" s="248" t="s">
        <v>9</v>
      </c>
      <c r="AP63" s="248" t="s">
        <v>9</v>
      </c>
      <c r="AQ63" s="235">
        <f t="shared" si="16"/>
        <v>46223</v>
      </c>
      <c r="AR63" s="244">
        <f t="shared" si="19"/>
        <v>99836324</v>
      </c>
      <c r="AS63" s="246" t="str">
        <f t="shared" si="14"/>
        <v>MI NEGOCIO EFECTIVO</v>
      </c>
    </row>
    <row r="64" spans="1:50" s="214" customFormat="1" ht="14.25" customHeight="1">
      <c r="A64" s="206">
        <v>58</v>
      </c>
      <c r="B64" s="206" t="s">
        <v>191</v>
      </c>
      <c r="C64" s="206" t="s">
        <v>192</v>
      </c>
      <c r="D64" s="235">
        <v>46212</v>
      </c>
      <c r="E64" s="206">
        <v>2089</v>
      </c>
      <c r="F64" s="206" t="s">
        <v>744</v>
      </c>
      <c r="G64" s="206" t="s">
        <v>328</v>
      </c>
      <c r="H64" s="206" t="s">
        <v>294</v>
      </c>
      <c r="I64" s="236" t="s">
        <v>745</v>
      </c>
      <c r="J64" s="206" t="s">
        <v>209</v>
      </c>
      <c r="K64" s="206" t="s">
        <v>746</v>
      </c>
      <c r="L64" s="206" t="s">
        <v>747</v>
      </c>
      <c r="M64" s="236" t="s">
        <v>748</v>
      </c>
      <c r="N64" s="240" t="s">
        <v>749</v>
      </c>
      <c r="O64" s="206" t="s">
        <v>359</v>
      </c>
      <c r="P64" s="206" t="s">
        <v>750</v>
      </c>
      <c r="Q64" s="198" t="s">
        <v>202</v>
      </c>
      <c r="R64" s="206" t="s">
        <v>203</v>
      </c>
      <c r="S64" s="206" t="s">
        <v>9</v>
      </c>
      <c r="T64" s="206" t="s">
        <v>9</v>
      </c>
      <c r="U64" s="206" t="s">
        <v>669</v>
      </c>
      <c r="V64" s="235">
        <v>46231</v>
      </c>
      <c r="W64" s="206" t="s">
        <v>751</v>
      </c>
      <c r="X64" s="206" t="s">
        <v>678</v>
      </c>
      <c r="Y64" s="206" t="s">
        <v>628</v>
      </c>
      <c r="Z64" s="240" t="s">
        <v>752</v>
      </c>
      <c r="AA64" s="206">
        <v>100091780</v>
      </c>
      <c r="AB64" s="206" t="s">
        <v>216</v>
      </c>
      <c r="AC64" s="206">
        <f t="shared" si="10"/>
        <v>20</v>
      </c>
      <c r="AD64" s="241">
        <f t="shared" si="18"/>
        <v>9</v>
      </c>
      <c r="AE64" s="242">
        <f t="shared" si="11"/>
        <v>180</v>
      </c>
      <c r="AF64" s="241">
        <f t="shared" si="17"/>
        <v>100091780</v>
      </c>
      <c r="AG64" s="243">
        <v>46231</v>
      </c>
      <c r="AH64" s="244">
        <v>5909858</v>
      </c>
      <c r="AI64" s="245" t="s">
        <v>233</v>
      </c>
      <c r="AJ64" s="246" t="str">
        <f t="shared" si="12"/>
        <v>BANCO DEL PACIFICO</v>
      </c>
      <c r="AK64" s="206">
        <f t="shared" si="13"/>
        <v>2089</v>
      </c>
      <c r="AL64" s="206" t="s">
        <v>204</v>
      </c>
      <c r="AM64" s="206" t="s">
        <v>9</v>
      </c>
      <c r="AN64" s="247" t="s">
        <v>9</v>
      </c>
      <c r="AO64" s="248" t="s">
        <v>218</v>
      </c>
      <c r="AP64" s="248" t="s">
        <v>234</v>
      </c>
      <c r="AQ64" s="235">
        <f t="shared" si="16"/>
        <v>46231</v>
      </c>
      <c r="AR64" s="244">
        <f t="shared" si="19"/>
        <v>5909858</v>
      </c>
      <c r="AS64" s="246" t="str">
        <f t="shared" si="14"/>
        <v>BANCO DEL PACIFICO</v>
      </c>
    </row>
    <row r="65" spans="1:45" ht="14.25" customHeight="1">
      <c r="A65" s="62">
        <v>59</v>
      </c>
      <c r="B65" s="62" t="s">
        <v>191</v>
      </c>
      <c r="C65" s="62" t="s">
        <v>192</v>
      </c>
      <c r="D65" s="97">
        <v>46217</v>
      </c>
      <c r="E65" s="62">
        <v>2090</v>
      </c>
      <c r="F65" s="62" t="s">
        <v>753</v>
      </c>
      <c r="G65" s="62" t="s">
        <v>236</v>
      </c>
      <c r="H65" s="62" t="s">
        <v>222</v>
      </c>
      <c r="I65" s="197" t="s">
        <v>695</v>
      </c>
      <c r="J65" s="62" t="s">
        <v>196</v>
      </c>
      <c r="K65" s="62">
        <v>2020</v>
      </c>
      <c r="L65" s="62" t="s">
        <v>754</v>
      </c>
      <c r="M65" s="197" t="s">
        <v>755</v>
      </c>
      <c r="N65" s="114" t="s">
        <v>756</v>
      </c>
      <c r="O65" s="62" t="s">
        <v>757</v>
      </c>
      <c r="P65" s="62" t="s">
        <v>758</v>
      </c>
      <c r="Q65" s="198" t="s">
        <v>202</v>
      </c>
      <c r="R65" s="62" t="s">
        <v>203</v>
      </c>
      <c r="S65" s="62" t="s">
        <v>9</v>
      </c>
      <c r="T65" s="62" t="s">
        <v>9</v>
      </c>
      <c r="U65" s="62" t="s">
        <v>204</v>
      </c>
      <c r="V65" s="97">
        <v>46218</v>
      </c>
      <c r="W65" s="206" t="s">
        <v>759</v>
      </c>
      <c r="X65" s="62" t="s">
        <v>678</v>
      </c>
      <c r="Y65" s="62" t="str">
        <f t="shared" ref="Y65:Y110" si="20">P65</f>
        <v>ROMERO ABARCA DENNISE ESTEFANIA</v>
      </c>
      <c r="Z65" s="198">
        <v>1714988795</v>
      </c>
      <c r="AA65" s="62">
        <v>99680196</v>
      </c>
      <c r="AB65" s="62" t="s">
        <v>216</v>
      </c>
      <c r="AC65" s="62">
        <f t="shared" si="10"/>
        <v>2</v>
      </c>
      <c r="AD65" s="98">
        <f t="shared" si="18"/>
        <v>9</v>
      </c>
      <c r="AE65" s="99">
        <f t="shared" si="11"/>
        <v>18</v>
      </c>
      <c r="AF65" s="98">
        <f t="shared" si="17"/>
        <v>99680196</v>
      </c>
      <c r="AG65" s="100">
        <v>46218</v>
      </c>
      <c r="AH65" s="63">
        <v>202607157843420</v>
      </c>
      <c r="AI65" s="101" t="s">
        <v>363</v>
      </c>
      <c r="AJ65" s="64" t="str">
        <f t="shared" si="12"/>
        <v>BANCO PACIFICO</v>
      </c>
      <c r="AK65" s="62">
        <f t="shared" si="13"/>
        <v>2090</v>
      </c>
      <c r="AL65" s="62" t="s">
        <v>204</v>
      </c>
      <c r="AM65" s="62" t="s">
        <v>9</v>
      </c>
      <c r="AN65" s="108" t="s">
        <v>9</v>
      </c>
      <c r="AO65" s="102" t="s">
        <v>218</v>
      </c>
      <c r="AP65" s="102"/>
      <c r="AQ65" s="97">
        <f t="shared" si="16"/>
        <v>46218</v>
      </c>
      <c r="AR65" s="63">
        <f t="shared" si="19"/>
        <v>202607157843420</v>
      </c>
      <c r="AS65" s="64" t="str">
        <f t="shared" si="14"/>
        <v>BANCO PACIFICO</v>
      </c>
    </row>
    <row r="66" spans="1:45" s="214" customFormat="1" ht="14.25" customHeight="1">
      <c r="A66" s="206">
        <v>60</v>
      </c>
      <c r="B66" s="206" t="s">
        <v>191</v>
      </c>
      <c r="C66" s="206" t="s">
        <v>192</v>
      </c>
      <c r="D66" s="235">
        <v>46220</v>
      </c>
      <c r="E66" s="206">
        <v>2091</v>
      </c>
      <c r="F66" s="206" t="s">
        <v>760</v>
      </c>
      <c r="G66" s="206" t="s">
        <v>761</v>
      </c>
      <c r="H66" s="206" t="s">
        <v>294</v>
      </c>
      <c r="I66" s="236" t="s">
        <v>762</v>
      </c>
      <c r="J66" s="206" t="s">
        <v>209</v>
      </c>
      <c r="K66" s="206">
        <v>2025</v>
      </c>
      <c r="L66" s="206" t="s">
        <v>763</v>
      </c>
      <c r="M66" s="236" t="s">
        <v>762</v>
      </c>
      <c r="N66" s="240" t="s">
        <v>764</v>
      </c>
      <c r="O66" s="206" t="s">
        <v>732</v>
      </c>
      <c r="P66" s="206" t="s">
        <v>765</v>
      </c>
      <c r="Q66" s="198" t="s">
        <v>766</v>
      </c>
      <c r="R66" s="206" t="s">
        <v>9</v>
      </c>
      <c r="S66" s="206" t="s">
        <v>9</v>
      </c>
      <c r="T66" s="206" t="s">
        <v>9</v>
      </c>
      <c r="U66" s="206" t="s">
        <v>204</v>
      </c>
      <c r="V66" s="235">
        <v>46239</v>
      </c>
      <c r="W66" s="206" t="s">
        <v>767</v>
      </c>
      <c r="X66" s="206" t="s">
        <v>678</v>
      </c>
      <c r="Y66" s="206" t="str">
        <f t="shared" si="20"/>
        <v>GUACHICULLCA ARIAS LUIS</v>
      </c>
      <c r="Z66" s="240" t="s">
        <v>768</v>
      </c>
      <c r="AA66" s="206">
        <v>100316628</v>
      </c>
      <c r="AB66" s="206" t="s">
        <v>216</v>
      </c>
      <c r="AC66" s="206">
        <f t="shared" si="10"/>
        <v>20</v>
      </c>
      <c r="AD66" s="241">
        <f t="shared" si="18"/>
        <v>9</v>
      </c>
      <c r="AE66" s="242">
        <f t="shared" si="11"/>
        <v>180</v>
      </c>
      <c r="AF66" s="241">
        <f t="shared" si="17"/>
        <v>100316628</v>
      </c>
      <c r="AG66" s="243">
        <v>46239</v>
      </c>
      <c r="AH66" s="244">
        <v>100316628</v>
      </c>
      <c r="AI66" s="245" t="s">
        <v>248</v>
      </c>
      <c r="AJ66" s="246" t="str">
        <f t="shared" si="12"/>
        <v>MI NEGOCIO EFECTIVO</v>
      </c>
      <c r="AK66" s="206">
        <f t="shared" si="13"/>
        <v>2091</v>
      </c>
      <c r="AL66" s="206" t="s">
        <v>204</v>
      </c>
      <c r="AM66" s="206" t="s">
        <v>9</v>
      </c>
      <c r="AN66" s="247" t="s">
        <v>9</v>
      </c>
      <c r="AO66" s="248" t="s">
        <v>9</v>
      </c>
      <c r="AP66" s="248" t="s">
        <v>9</v>
      </c>
      <c r="AQ66" s="235">
        <f t="shared" si="16"/>
        <v>46239</v>
      </c>
      <c r="AR66" s="244">
        <f t="shared" si="19"/>
        <v>100316628</v>
      </c>
      <c r="AS66" s="246" t="str">
        <f t="shared" si="14"/>
        <v>MI NEGOCIO EFECTIVO</v>
      </c>
    </row>
    <row r="67" spans="1:45" s="196" customFormat="1" ht="14.25" customHeight="1">
      <c r="A67" s="186">
        <v>61</v>
      </c>
      <c r="B67" s="186" t="s">
        <v>191</v>
      </c>
      <c r="C67" s="186" t="s">
        <v>192</v>
      </c>
      <c r="D67" s="187">
        <v>46235</v>
      </c>
      <c r="E67" s="186">
        <v>2092</v>
      </c>
      <c r="F67" s="186" t="s">
        <v>769</v>
      </c>
      <c r="G67" s="186" t="s">
        <v>260</v>
      </c>
      <c r="H67" s="186" t="s">
        <v>274</v>
      </c>
      <c r="I67" s="232" t="s">
        <v>770</v>
      </c>
      <c r="J67" s="186" t="s">
        <v>209</v>
      </c>
      <c r="K67" s="186">
        <v>2027</v>
      </c>
      <c r="L67" s="186"/>
      <c r="M67" s="232" t="s">
        <v>771</v>
      </c>
      <c r="N67" s="218" t="s">
        <v>772</v>
      </c>
      <c r="O67" s="186" t="s">
        <v>732</v>
      </c>
      <c r="P67" s="186" t="s">
        <v>773</v>
      </c>
      <c r="Q67" s="233" t="s">
        <v>766</v>
      </c>
      <c r="R67" s="186" t="s">
        <v>9</v>
      </c>
      <c r="S67" s="186" t="s">
        <v>9</v>
      </c>
      <c r="T67" s="186" t="s">
        <v>9</v>
      </c>
      <c r="U67" s="186" t="s">
        <v>204</v>
      </c>
      <c r="V67" s="187"/>
      <c r="W67" s="186"/>
      <c r="X67" s="186"/>
      <c r="Y67" s="186" t="str">
        <f t="shared" si="20"/>
        <v xml:space="preserve">MONTESDEOCA CEDEÑO JENNY </v>
      </c>
      <c r="Z67" s="218"/>
      <c r="AA67" s="186"/>
      <c r="AB67" s="186"/>
      <c r="AC67" s="186">
        <f t="shared" si="10"/>
        <v>-46234</v>
      </c>
      <c r="AD67" s="189">
        <f t="shared" si="18"/>
        <v>0</v>
      </c>
      <c r="AE67" s="190">
        <f t="shared" si="11"/>
        <v>0</v>
      </c>
      <c r="AF67" s="189">
        <f t="shared" si="17"/>
        <v>0</v>
      </c>
      <c r="AG67" s="191"/>
      <c r="AH67" s="192"/>
      <c r="AI67" s="193"/>
      <c r="AJ67" s="188" t="str">
        <f t="shared" si="12"/>
        <v/>
      </c>
      <c r="AK67" s="186">
        <f t="shared" si="13"/>
        <v>2092</v>
      </c>
      <c r="AL67" s="186"/>
      <c r="AM67" s="186"/>
      <c r="AN67" s="194"/>
      <c r="AO67" s="195"/>
      <c r="AP67" s="195"/>
      <c r="AQ67" s="187">
        <f t="shared" si="16"/>
        <v>0</v>
      </c>
      <c r="AR67" s="192">
        <f t="shared" si="19"/>
        <v>0</v>
      </c>
      <c r="AS67" s="188" t="str">
        <f t="shared" si="14"/>
        <v/>
      </c>
    </row>
    <row r="68" spans="1:45" s="196" customFormat="1" ht="14.25" customHeight="1">
      <c r="A68" s="186">
        <v>62</v>
      </c>
      <c r="B68" s="186" t="s">
        <v>191</v>
      </c>
      <c r="C68" s="186" t="s">
        <v>192</v>
      </c>
      <c r="D68" s="187">
        <v>46235</v>
      </c>
      <c r="E68" s="186">
        <v>2093</v>
      </c>
      <c r="F68" s="186" t="s">
        <v>774</v>
      </c>
      <c r="G68" s="186" t="s">
        <v>328</v>
      </c>
      <c r="H68" s="186" t="s">
        <v>274</v>
      </c>
      <c r="I68" s="249" t="s">
        <v>775</v>
      </c>
      <c r="J68" s="186" t="s">
        <v>209</v>
      </c>
      <c r="K68" s="186">
        <v>2009</v>
      </c>
      <c r="L68" s="186"/>
      <c r="M68" s="197">
        <v>707191</v>
      </c>
      <c r="N68" s="218" t="s">
        <v>776</v>
      </c>
      <c r="O68" s="186" t="s">
        <v>732</v>
      </c>
      <c r="P68" s="186" t="s">
        <v>777</v>
      </c>
      <c r="Q68" s="186" t="s">
        <v>492</v>
      </c>
      <c r="R68" s="186" t="s">
        <v>9</v>
      </c>
      <c r="S68" s="186" t="s">
        <v>9</v>
      </c>
      <c r="T68" s="186" t="s">
        <v>9</v>
      </c>
      <c r="U68" s="186" t="s">
        <v>204</v>
      </c>
      <c r="V68" s="187"/>
      <c r="W68" s="186"/>
      <c r="X68" s="186"/>
      <c r="Y68" s="186" t="str">
        <f t="shared" si="20"/>
        <v xml:space="preserve">GOMEZ TORRES FRANCISCO </v>
      </c>
      <c r="Z68" s="218"/>
      <c r="AA68" s="186"/>
      <c r="AB68" s="186"/>
      <c r="AC68" s="186">
        <f t="shared" si="10"/>
        <v>-46234</v>
      </c>
      <c r="AD68" s="189">
        <f t="shared" si="18"/>
        <v>0</v>
      </c>
      <c r="AE68" s="190">
        <f t="shared" si="11"/>
        <v>0</v>
      </c>
      <c r="AF68" s="189">
        <f t="shared" si="17"/>
        <v>0</v>
      </c>
      <c r="AG68" s="191"/>
      <c r="AH68" s="192"/>
      <c r="AI68" s="193"/>
      <c r="AJ68" s="188" t="str">
        <f t="shared" si="12"/>
        <v/>
      </c>
      <c r="AK68" s="186">
        <f t="shared" si="13"/>
        <v>2093</v>
      </c>
      <c r="AL68" s="186"/>
      <c r="AM68" s="186"/>
      <c r="AN68" s="194"/>
      <c r="AO68" s="195"/>
      <c r="AP68" s="195"/>
      <c r="AQ68" s="187">
        <f t="shared" si="16"/>
        <v>0</v>
      </c>
      <c r="AR68" s="192">
        <f t="shared" si="19"/>
        <v>0</v>
      </c>
      <c r="AS68" s="188" t="str">
        <f t="shared" si="14"/>
        <v/>
      </c>
    </row>
    <row r="69" spans="1:45" s="196" customFormat="1" ht="14.25" customHeight="1">
      <c r="A69" s="186">
        <v>63</v>
      </c>
      <c r="B69" s="186" t="s">
        <v>191</v>
      </c>
      <c r="C69" s="186" t="s">
        <v>192</v>
      </c>
      <c r="D69" s="187">
        <v>46236</v>
      </c>
      <c r="E69" s="186">
        <v>2094</v>
      </c>
      <c r="F69" s="186" t="s">
        <v>778</v>
      </c>
      <c r="G69" s="186" t="s">
        <v>236</v>
      </c>
      <c r="H69" s="186" t="s">
        <v>274</v>
      </c>
      <c r="I69" s="197" t="s">
        <v>779</v>
      </c>
      <c r="J69" s="186" t="s">
        <v>209</v>
      </c>
      <c r="K69" s="186">
        <v>2021</v>
      </c>
      <c r="L69" s="186"/>
      <c r="M69" s="197" t="s">
        <v>780</v>
      </c>
      <c r="N69" s="218" t="s">
        <v>781</v>
      </c>
      <c r="O69" s="186" t="s">
        <v>782</v>
      </c>
      <c r="P69" s="186" t="s">
        <v>783</v>
      </c>
      <c r="Q69" s="233" t="s">
        <v>202</v>
      </c>
      <c r="R69" s="186" t="s">
        <v>203</v>
      </c>
      <c r="S69" s="186" t="s">
        <v>9</v>
      </c>
      <c r="T69" s="186" t="s">
        <v>9</v>
      </c>
      <c r="U69" s="186" t="s">
        <v>204</v>
      </c>
      <c r="V69" s="187"/>
      <c r="W69" s="186"/>
      <c r="X69" s="186"/>
      <c r="Y69" s="186" t="str">
        <f t="shared" si="20"/>
        <v>CHARIGUAMAN CHILENO WILLIAM ROLANDO</v>
      </c>
      <c r="Z69" s="218"/>
      <c r="AA69" s="186"/>
      <c r="AB69" s="186"/>
      <c r="AC69" s="186">
        <f t="shared" si="10"/>
        <v>-46235</v>
      </c>
      <c r="AD69" s="189">
        <f t="shared" si="18"/>
        <v>0</v>
      </c>
      <c r="AE69" s="190">
        <f t="shared" si="11"/>
        <v>0</v>
      </c>
      <c r="AF69" s="189">
        <f t="shared" si="17"/>
        <v>0</v>
      </c>
      <c r="AG69" s="191"/>
      <c r="AH69" s="192"/>
      <c r="AI69" s="193"/>
      <c r="AJ69" s="188" t="str">
        <f t="shared" si="12"/>
        <v/>
      </c>
      <c r="AK69" s="186">
        <f t="shared" si="13"/>
        <v>2094</v>
      </c>
      <c r="AL69" s="186"/>
      <c r="AM69" s="186"/>
      <c r="AN69" s="194"/>
      <c r="AO69" s="195"/>
      <c r="AP69" s="195"/>
      <c r="AQ69" s="187">
        <f t="shared" si="16"/>
        <v>0</v>
      </c>
      <c r="AR69" s="192">
        <f t="shared" si="19"/>
        <v>0</v>
      </c>
      <c r="AS69" s="188" t="str">
        <f t="shared" si="14"/>
        <v/>
      </c>
    </row>
    <row r="70" spans="1:45" s="196" customFormat="1" ht="14.25" customHeight="1">
      <c r="A70" s="186">
        <v>64</v>
      </c>
      <c r="B70" s="186" t="s">
        <v>191</v>
      </c>
      <c r="C70" s="186" t="s">
        <v>192</v>
      </c>
      <c r="D70" s="187">
        <v>46237</v>
      </c>
      <c r="E70" s="186">
        <v>2095</v>
      </c>
      <c r="F70" s="186" t="s">
        <v>784</v>
      </c>
      <c r="G70" s="186" t="s">
        <v>328</v>
      </c>
      <c r="H70" s="186" t="s">
        <v>274</v>
      </c>
      <c r="I70" s="197" t="s">
        <v>785</v>
      </c>
      <c r="J70" s="186" t="s">
        <v>209</v>
      </c>
      <c r="K70" s="186">
        <v>2019</v>
      </c>
      <c r="L70" s="186"/>
      <c r="M70" s="197" t="s">
        <v>786</v>
      </c>
      <c r="N70" s="218" t="s">
        <v>787</v>
      </c>
      <c r="O70" s="186" t="s">
        <v>501</v>
      </c>
      <c r="P70" s="186" t="s">
        <v>788</v>
      </c>
      <c r="Q70" s="233" t="s">
        <v>202</v>
      </c>
      <c r="R70" s="186" t="s">
        <v>203</v>
      </c>
      <c r="S70" s="186" t="s">
        <v>9</v>
      </c>
      <c r="T70" s="186" t="s">
        <v>9</v>
      </c>
      <c r="U70" s="186" t="s">
        <v>204</v>
      </c>
      <c r="V70" s="187"/>
      <c r="W70" s="186"/>
      <c r="X70" s="186"/>
      <c r="Y70" s="186" t="str">
        <f t="shared" si="20"/>
        <v>CARANQUI PAUCAR MARIA PIEDAD</v>
      </c>
      <c r="Z70" s="218"/>
      <c r="AA70" s="186"/>
      <c r="AB70" s="186"/>
      <c r="AC70" s="186">
        <f t="shared" si="10"/>
        <v>-46236</v>
      </c>
      <c r="AD70" s="189">
        <f t="shared" si="18"/>
        <v>0</v>
      </c>
      <c r="AE70" s="190">
        <f t="shared" si="11"/>
        <v>0</v>
      </c>
      <c r="AF70" s="189">
        <f t="shared" si="17"/>
        <v>0</v>
      </c>
      <c r="AG70" s="191"/>
      <c r="AH70" s="192"/>
      <c r="AI70" s="193"/>
      <c r="AJ70" s="188" t="str">
        <f t="shared" si="12"/>
        <v/>
      </c>
      <c r="AK70" s="186">
        <f t="shared" si="13"/>
        <v>2095</v>
      </c>
      <c r="AL70" s="186"/>
      <c r="AM70" s="186"/>
      <c r="AN70" s="194"/>
      <c r="AO70" s="195"/>
      <c r="AP70" s="195"/>
      <c r="AQ70" s="187">
        <f t="shared" si="16"/>
        <v>0</v>
      </c>
      <c r="AR70" s="192">
        <f t="shared" si="19"/>
        <v>0</v>
      </c>
      <c r="AS70" s="188" t="str">
        <f t="shared" si="14"/>
        <v/>
      </c>
    </row>
    <row r="71" spans="1:45" s="196" customFormat="1" ht="14.25" customHeight="1">
      <c r="A71" s="206">
        <v>65</v>
      </c>
      <c r="B71" s="186" t="s">
        <v>191</v>
      </c>
      <c r="C71" s="186" t="s">
        <v>192</v>
      </c>
      <c r="D71" s="187">
        <v>46238</v>
      </c>
      <c r="E71" s="186">
        <v>2096</v>
      </c>
      <c r="F71" s="186" t="s">
        <v>789</v>
      </c>
      <c r="G71" s="186" t="s">
        <v>790</v>
      </c>
      <c r="H71" s="186" t="s">
        <v>274</v>
      </c>
      <c r="I71" s="197" t="s">
        <v>791</v>
      </c>
      <c r="J71" s="186" t="s">
        <v>209</v>
      </c>
      <c r="K71" s="186">
        <v>2007</v>
      </c>
      <c r="L71" s="186"/>
      <c r="M71" s="197" t="s">
        <v>792</v>
      </c>
      <c r="N71" s="218" t="s">
        <v>793</v>
      </c>
      <c r="O71" s="186" t="s">
        <v>707</v>
      </c>
      <c r="P71" s="186" t="s">
        <v>794</v>
      </c>
      <c r="Q71" s="233" t="s">
        <v>202</v>
      </c>
      <c r="R71" s="186" t="s">
        <v>203</v>
      </c>
      <c r="S71" s="186" t="s">
        <v>9</v>
      </c>
      <c r="T71" s="186" t="s">
        <v>9</v>
      </c>
      <c r="U71" s="186" t="s">
        <v>795</v>
      </c>
      <c r="V71" s="187"/>
      <c r="W71" s="186"/>
      <c r="X71" s="186"/>
      <c r="Y71" s="186" t="str">
        <f t="shared" si="20"/>
        <v>MIRIAN MARLENE YANEZ GUIZADO</v>
      </c>
      <c r="Z71" s="218"/>
      <c r="AA71" s="186"/>
      <c r="AB71" s="186"/>
      <c r="AC71" s="186">
        <f t="shared" ref="AC71:AC102" si="21">(V71-D71)+1</f>
        <v>-46237</v>
      </c>
      <c r="AD71" s="189">
        <f t="shared" si="18"/>
        <v>0</v>
      </c>
      <c r="AE71" s="190">
        <f t="shared" ref="AE71:AE102" si="22">IFERROR(AD71*AC71,0)</f>
        <v>0</v>
      </c>
      <c r="AF71" s="189">
        <f t="shared" si="17"/>
        <v>0</v>
      </c>
      <c r="AG71" s="191"/>
      <c r="AH71" s="192"/>
      <c r="AI71" s="193"/>
      <c r="AJ71" s="188" t="str">
        <f t="shared" ref="AJ71:AJ102" si="23">IF(AI71="","",AI71)</f>
        <v/>
      </c>
      <c r="AK71" s="186">
        <f t="shared" ref="AK71:AK102" si="24">IF(E71="","",E71)</f>
        <v>2096</v>
      </c>
      <c r="AL71" s="186"/>
      <c r="AM71" s="186"/>
      <c r="AN71" s="194"/>
      <c r="AO71" s="195"/>
      <c r="AP71" s="195"/>
      <c r="AQ71" s="187">
        <f t="shared" si="16"/>
        <v>0</v>
      </c>
      <c r="AR71" s="192">
        <f t="shared" si="19"/>
        <v>0</v>
      </c>
      <c r="AS71" s="188" t="str">
        <f t="shared" ref="AS71:AS102" si="25">AJ71</f>
        <v/>
      </c>
    </row>
    <row r="72" spans="1:45" ht="14.25" customHeight="1">
      <c r="A72" s="62">
        <v>66</v>
      </c>
      <c r="B72" s="62" t="s">
        <v>191</v>
      </c>
      <c r="C72" s="62" t="s">
        <v>192</v>
      </c>
      <c r="D72" s="97"/>
      <c r="E72" s="62"/>
      <c r="F72" s="62"/>
      <c r="G72" s="62"/>
      <c r="H72" s="62"/>
      <c r="I72" s="64"/>
      <c r="J72" s="62"/>
      <c r="K72" s="62"/>
      <c r="L72" s="62"/>
      <c r="M72" s="114"/>
      <c r="N72" s="114"/>
      <c r="O72" s="62"/>
      <c r="P72" s="62"/>
      <c r="Q72" s="198"/>
      <c r="R72" s="62"/>
      <c r="S72" s="62"/>
      <c r="T72" s="62"/>
      <c r="U72" s="62"/>
      <c r="V72" s="97"/>
      <c r="W72" s="62"/>
      <c r="X72" s="62"/>
      <c r="Y72" s="62">
        <f t="shared" si="20"/>
        <v>0</v>
      </c>
      <c r="Z72" s="114"/>
      <c r="AA72" s="62"/>
      <c r="AB72" s="62"/>
      <c r="AC72" s="62">
        <f t="shared" si="21"/>
        <v>1</v>
      </c>
      <c r="AD72" s="98">
        <f t="shared" si="18"/>
        <v>0</v>
      </c>
      <c r="AE72" s="99">
        <f t="shared" si="22"/>
        <v>0</v>
      </c>
      <c r="AF72" s="98">
        <f t="shared" si="17"/>
        <v>0</v>
      </c>
      <c r="AG72" s="100"/>
      <c r="AH72" s="63"/>
      <c r="AI72" s="101"/>
      <c r="AJ72" s="64" t="str">
        <f t="shared" si="23"/>
        <v/>
      </c>
      <c r="AK72" s="62" t="str">
        <f t="shared" si="24"/>
        <v/>
      </c>
      <c r="AL72" s="62"/>
      <c r="AM72" s="62"/>
      <c r="AN72" s="108"/>
      <c r="AO72" s="102"/>
      <c r="AP72" s="102"/>
      <c r="AQ72" s="97">
        <f t="shared" si="16"/>
        <v>0</v>
      </c>
      <c r="AR72" s="63">
        <f t="shared" si="19"/>
        <v>0</v>
      </c>
      <c r="AS72" s="64" t="str">
        <f t="shared" si="25"/>
        <v/>
      </c>
    </row>
    <row r="73" spans="1:45" ht="14.25" customHeight="1">
      <c r="A73" s="62">
        <v>67</v>
      </c>
      <c r="B73" s="62" t="s">
        <v>191</v>
      </c>
      <c r="C73" s="62" t="s">
        <v>192</v>
      </c>
      <c r="D73" s="97"/>
      <c r="E73" s="62"/>
      <c r="F73" s="62"/>
      <c r="G73" s="62"/>
      <c r="H73" s="62"/>
      <c r="I73" s="64"/>
      <c r="J73" s="62"/>
      <c r="K73" s="62"/>
      <c r="L73" s="62"/>
      <c r="M73" s="114"/>
      <c r="N73" s="114"/>
      <c r="O73" s="62"/>
      <c r="P73" s="62"/>
      <c r="Q73" s="198"/>
      <c r="R73" s="62"/>
      <c r="S73" s="62"/>
      <c r="T73" s="62"/>
      <c r="U73" s="62"/>
      <c r="V73" s="97"/>
      <c r="W73" s="62"/>
      <c r="X73" s="62"/>
      <c r="Y73" s="62">
        <f t="shared" si="20"/>
        <v>0</v>
      </c>
      <c r="Z73" s="114"/>
      <c r="AA73" s="62"/>
      <c r="AB73" s="62"/>
      <c r="AC73" s="62">
        <f t="shared" si="21"/>
        <v>1</v>
      </c>
      <c r="AD73" s="98">
        <f t="shared" si="18"/>
        <v>0</v>
      </c>
      <c r="AE73" s="99">
        <f t="shared" si="22"/>
        <v>0</v>
      </c>
      <c r="AF73" s="98">
        <f t="shared" si="17"/>
        <v>0</v>
      </c>
      <c r="AG73" s="100"/>
      <c r="AH73" s="63"/>
      <c r="AI73" s="101"/>
      <c r="AJ73" s="64" t="str">
        <f t="shared" si="23"/>
        <v/>
      </c>
      <c r="AK73" s="62" t="str">
        <f t="shared" si="24"/>
        <v/>
      </c>
      <c r="AL73" s="62"/>
      <c r="AM73" s="62"/>
      <c r="AN73" s="62"/>
      <c r="AO73" s="102"/>
      <c r="AP73" s="102"/>
      <c r="AQ73" s="97">
        <f t="shared" ref="AQ73:AQ109" si="26">AG73</f>
        <v>0</v>
      </c>
      <c r="AR73" s="63">
        <f t="shared" si="19"/>
        <v>0</v>
      </c>
      <c r="AS73" s="64" t="str">
        <f t="shared" si="25"/>
        <v/>
      </c>
    </row>
    <row r="74" spans="1:45" ht="14.25" customHeight="1">
      <c r="A74" s="62">
        <v>68</v>
      </c>
      <c r="B74" s="62" t="s">
        <v>191</v>
      </c>
      <c r="C74" s="62" t="s">
        <v>192</v>
      </c>
      <c r="D74" s="97"/>
      <c r="E74" s="62"/>
      <c r="F74" s="62"/>
      <c r="G74" s="62"/>
      <c r="H74" s="62"/>
      <c r="I74" s="64"/>
      <c r="J74" s="62"/>
      <c r="K74" s="62"/>
      <c r="L74" s="62"/>
      <c r="M74" s="114"/>
      <c r="N74" s="114"/>
      <c r="O74" s="62"/>
      <c r="P74" s="62"/>
      <c r="Q74" s="198"/>
      <c r="R74" s="62"/>
      <c r="S74" s="62"/>
      <c r="T74" s="62"/>
      <c r="U74" s="62"/>
      <c r="V74" s="97"/>
      <c r="W74" s="62"/>
      <c r="X74" s="62"/>
      <c r="Y74" s="62">
        <f t="shared" si="20"/>
        <v>0</v>
      </c>
      <c r="Z74" s="114"/>
      <c r="AA74" s="62"/>
      <c r="AB74" s="62"/>
      <c r="AC74" s="62">
        <f t="shared" si="21"/>
        <v>1</v>
      </c>
      <c r="AD74" s="98">
        <f t="shared" si="18"/>
        <v>0</v>
      </c>
      <c r="AE74" s="99">
        <f t="shared" si="22"/>
        <v>0</v>
      </c>
      <c r="AF74" s="98">
        <f t="shared" si="17"/>
        <v>0</v>
      </c>
      <c r="AG74" s="100"/>
      <c r="AH74" s="63"/>
      <c r="AI74" s="101"/>
      <c r="AJ74" s="64" t="str">
        <f t="shared" si="23"/>
        <v/>
      </c>
      <c r="AK74" s="62" t="str">
        <f t="shared" si="24"/>
        <v/>
      </c>
      <c r="AL74" s="62"/>
      <c r="AM74" s="62"/>
      <c r="AN74" s="108"/>
      <c r="AO74" s="102"/>
      <c r="AP74" s="102"/>
      <c r="AQ74" s="97">
        <f t="shared" si="26"/>
        <v>0</v>
      </c>
      <c r="AR74" s="63">
        <f t="shared" si="19"/>
        <v>0</v>
      </c>
      <c r="AS74" s="64" t="str">
        <f t="shared" si="25"/>
        <v/>
      </c>
    </row>
    <row r="75" spans="1:45" ht="14.25" customHeight="1">
      <c r="A75" s="62">
        <v>69</v>
      </c>
      <c r="B75" s="62" t="s">
        <v>191</v>
      </c>
      <c r="C75" s="62" t="s">
        <v>192</v>
      </c>
      <c r="D75" s="97"/>
      <c r="E75" s="62"/>
      <c r="F75" s="62"/>
      <c r="G75" s="62"/>
      <c r="H75" s="62"/>
      <c r="I75" s="64"/>
      <c r="J75" s="62"/>
      <c r="K75" s="62"/>
      <c r="L75" s="62"/>
      <c r="M75" s="114"/>
      <c r="N75" s="114"/>
      <c r="O75" s="62"/>
      <c r="P75" s="62"/>
      <c r="Q75" s="198"/>
      <c r="R75" s="62"/>
      <c r="S75" s="62"/>
      <c r="T75" s="62"/>
      <c r="U75" s="62"/>
      <c r="V75" s="97"/>
      <c r="W75" s="62"/>
      <c r="X75" s="62"/>
      <c r="Y75" s="62">
        <f t="shared" si="20"/>
        <v>0</v>
      </c>
      <c r="Z75" s="114"/>
      <c r="AA75" s="62"/>
      <c r="AB75" s="62"/>
      <c r="AC75" s="62">
        <f t="shared" si="21"/>
        <v>1</v>
      </c>
      <c r="AD75" s="98">
        <f t="shared" si="18"/>
        <v>0</v>
      </c>
      <c r="AE75" s="99">
        <f t="shared" si="22"/>
        <v>0</v>
      </c>
      <c r="AF75" s="98">
        <f t="shared" si="17"/>
        <v>0</v>
      </c>
      <c r="AG75" s="100"/>
      <c r="AH75" s="63"/>
      <c r="AI75" s="101"/>
      <c r="AJ75" s="64" t="str">
        <f t="shared" si="23"/>
        <v/>
      </c>
      <c r="AK75" s="62" t="str">
        <f t="shared" si="24"/>
        <v/>
      </c>
      <c r="AL75" s="62"/>
      <c r="AM75" s="62"/>
      <c r="AN75" s="108"/>
      <c r="AO75" s="102"/>
      <c r="AP75" s="102"/>
      <c r="AQ75" s="97">
        <f t="shared" si="26"/>
        <v>0</v>
      </c>
      <c r="AR75" s="63">
        <f t="shared" si="19"/>
        <v>0</v>
      </c>
      <c r="AS75" s="64" t="str">
        <f t="shared" si="25"/>
        <v/>
      </c>
    </row>
    <row r="76" spans="1:45" ht="14.25" customHeight="1">
      <c r="A76" s="62">
        <v>70</v>
      </c>
      <c r="B76" s="62" t="s">
        <v>191</v>
      </c>
      <c r="C76" s="62" t="s">
        <v>192</v>
      </c>
      <c r="D76" s="97"/>
      <c r="E76" s="62"/>
      <c r="F76" s="62"/>
      <c r="G76" s="62"/>
      <c r="H76" s="62"/>
      <c r="I76" s="64"/>
      <c r="J76" s="62"/>
      <c r="K76" s="62"/>
      <c r="L76" s="62"/>
      <c r="M76" s="114"/>
      <c r="N76" s="114"/>
      <c r="O76" s="62"/>
      <c r="P76" s="62"/>
      <c r="Q76" s="198"/>
      <c r="R76" s="62"/>
      <c r="S76" s="62"/>
      <c r="T76" s="62"/>
      <c r="U76" s="62"/>
      <c r="V76" s="97"/>
      <c r="W76" s="62"/>
      <c r="X76" s="62"/>
      <c r="Y76" s="62">
        <f t="shared" si="20"/>
        <v>0</v>
      </c>
      <c r="Z76" s="114"/>
      <c r="AA76" s="62"/>
      <c r="AB76" s="62"/>
      <c r="AC76" s="62">
        <f t="shared" si="21"/>
        <v>1</v>
      </c>
      <c r="AD76" s="98">
        <f t="shared" si="18"/>
        <v>0</v>
      </c>
      <c r="AE76" s="99">
        <f t="shared" si="22"/>
        <v>0</v>
      </c>
      <c r="AF76" s="98">
        <f t="shared" si="17"/>
        <v>0</v>
      </c>
      <c r="AG76" s="100"/>
      <c r="AH76" s="63"/>
      <c r="AI76" s="101"/>
      <c r="AJ76" s="64" t="str">
        <f t="shared" si="23"/>
        <v/>
      </c>
      <c r="AK76" s="62" t="str">
        <f t="shared" si="24"/>
        <v/>
      </c>
      <c r="AL76" s="62"/>
      <c r="AM76" s="62"/>
      <c r="AN76" s="108"/>
      <c r="AO76" s="102"/>
      <c r="AP76" s="102"/>
      <c r="AQ76" s="97">
        <f t="shared" si="26"/>
        <v>0</v>
      </c>
      <c r="AR76" s="63">
        <f t="shared" si="19"/>
        <v>0</v>
      </c>
      <c r="AS76" s="64" t="str">
        <f t="shared" si="25"/>
        <v/>
      </c>
    </row>
    <row r="77" spans="1:45" ht="14.25" customHeight="1">
      <c r="A77" s="62">
        <v>71</v>
      </c>
      <c r="B77" s="62" t="s">
        <v>191</v>
      </c>
      <c r="C77" s="62" t="s">
        <v>192</v>
      </c>
      <c r="D77" s="97"/>
      <c r="E77" s="62"/>
      <c r="F77" s="62"/>
      <c r="G77" s="62"/>
      <c r="H77" s="62"/>
      <c r="I77" s="64"/>
      <c r="J77" s="62"/>
      <c r="K77" s="62"/>
      <c r="L77" s="62"/>
      <c r="M77" s="114"/>
      <c r="N77" s="114"/>
      <c r="O77" s="62"/>
      <c r="P77" s="62"/>
      <c r="Q77" s="198"/>
      <c r="R77" s="62"/>
      <c r="S77" s="62"/>
      <c r="T77" s="62"/>
      <c r="U77" s="62"/>
      <c r="V77" s="97"/>
      <c r="X77" s="62"/>
      <c r="Y77" s="62">
        <f t="shared" si="20"/>
        <v>0</v>
      </c>
      <c r="Z77" s="114"/>
      <c r="AA77" s="62"/>
      <c r="AB77" s="62"/>
      <c r="AC77" s="62">
        <f t="shared" si="21"/>
        <v>1</v>
      </c>
      <c r="AD77" s="98">
        <f t="shared" si="18"/>
        <v>0</v>
      </c>
      <c r="AE77" s="99">
        <f t="shared" si="22"/>
        <v>0</v>
      </c>
      <c r="AF77" s="98">
        <f t="shared" si="17"/>
        <v>0</v>
      </c>
      <c r="AG77" s="100"/>
      <c r="AH77" s="63"/>
      <c r="AI77" s="101"/>
      <c r="AJ77" s="64" t="str">
        <f t="shared" si="23"/>
        <v/>
      </c>
      <c r="AK77" s="62" t="str">
        <f t="shared" si="24"/>
        <v/>
      </c>
      <c r="AL77" s="62"/>
      <c r="AM77" s="62"/>
      <c r="AN77" s="108"/>
      <c r="AO77" s="102"/>
      <c r="AP77" s="102"/>
      <c r="AQ77" s="97">
        <f t="shared" si="26"/>
        <v>0</v>
      </c>
      <c r="AR77" s="63">
        <f t="shared" si="19"/>
        <v>0</v>
      </c>
      <c r="AS77" s="64" t="str">
        <f t="shared" si="25"/>
        <v/>
      </c>
    </row>
    <row r="78" spans="1:45" ht="14.25" customHeight="1">
      <c r="A78" s="62">
        <v>72</v>
      </c>
      <c r="B78" s="62" t="s">
        <v>191</v>
      </c>
      <c r="C78" s="62" t="s">
        <v>192</v>
      </c>
      <c r="D78" s="97"/>
      <c r="E78" s="62"/>
      <c r="F78" s="62"/>
      <c r="G78" s="62"/>
      <c r="H78" s="62"/>
      <c r="I78" s="64"/>
      <c r="J78" s="62"/>
      <c r="K78" s="62"/>
      <c r="L78" s="62"/>
      <c r="M78" s="114"/>
      <c r="N78" s="114"/>
      <c r="O78" s="62"/>
      <c r="P78" s="62"/>
      <c r="Q78" s="198"/>
      <c r="R78" s="62"/>
      <c r="S78" s="62"/>
      <c r="T78" s="62"/>
      <c r="U78" s="62"/>
      <c r="V78" s="97"/>
      <c r="W78" s="62"/>
      <c r="X78" s="62"/>
      <c r="Y78" s="62">
        <f t="shared" si="20"/>
        <v>0</v>
      </c>
      <c r="Z78" s="114"/>
      <c r="AA78" s="62"/>
      <c r="AB78" s="62"/>
      <c r="AC78" s="62">
        <f t="shared" si="21"/>
        <v>1</v>
      </c>
      <c r="AD78" s="98">
        <f t="shared" si="18"/>
        <v>0</v>
      </c>
      <c r="AE78" s="99">
        <f t="shared" si="22"/>
        <v>0</v>
      </c>
      <c r="AF78" s="98">
        <f t="shared" si="17"/>
        <v>0</v>
      </c>
      <c r="AG78" s="100"/>
      <c r="AH78" s="63"/>
      <c r="AI78" s="101"/>
      <c r="AJ78" s="64" t="str">
        <f t="shared" si="23"/>
        <v/>
      </c>
      <c r="AK78" s="62" t="str">
        <f t="shared" si="24"/>
        <v/>
      </c>
      <c r="AL78" s="62"/>
      <c r="AM78" s="62"/>
      <c r="AN78" s="108"/>
      <c r="AO78" s="102"/>
      <c r="AP78" s="102"/>
      <c r="AQ78" s="97">
        <f t="shared" si="26"/>
        <v>0</v>
      </c>
      <c r="AR78" s="63">
        <f t="shared" si="19"/>
        <v>0</v>
      </c>
      <c r="AS78" s="64" t="str">
        <f t="shared" si="25"/>
        <v/>
      </c>
    </row>
    <row r="79" spans="1:45" ht="14.25" customHeight="1">
      <c r="A79" s="62">
        <v>73</v>
      </c>
      <c r="B79" s="62" t="s">
        <v>191</v>
      </c>
      <c r="C79" s="62" t="s">
        <v>192</v>
      </c>
      <c r="D79" s="97"/>
      <c r="E79" s="62"/>
      <c r="F79" s="62"/>
      <c r="G79" s="62"/>
      <c r="H79" s="62"/>
      <c r="I79" s="64"/>
      <c r="J79" s="62"/>
      <c r="K79" s="62"/>
      <c r="L79" s="62"/>
      <c r="M79" s="114"/>
      <c r="N79" s="114"/>
      <c r="O79" s="62"/>
      <c r="P79" s="62"/>
      <c r="Q79" s="198"/>
      <c r="R79" s="62"/>
      <c r="S79" s="62"/>
      <c r="T79" s="62"/>
      <c r="U79" s="62"/>
      <c r="V79" s="97"/>
      <c r="W79" s="62"/>
      <c r="X79" s="62"/>
      <c r="Y79" s="62">
        <f t="shared" si="20"/>
        <v>0</v>
      </c>
      <c r="Z79" s="114"/>
      <c r="AA79" s="62"/>
      <c r="AB79" s="62"/>
      <c r="AC79" s="62">
        <f t="shared" si="21"/>
        <v>1</v>
      </c>
      <c r="AD79" s="98">
        <f t="shared" si="18"/>
        <v>0</v>
      </c>
      <c r="AE79" s="99">
        <f t="shared" si="22"/>
        <v>0</v>
      </c>
      <c r="AF79" s="98">
        <f t="shared" si="17"/>
        <v>0</v>
      </c>
      <c r="AG79" s="100"/>
      <c r="AH79" s="63"/>
      <c r="AI79" s="101"/>
      <c r="AJ79" s="64" t="str">
        <f t="shared" si="23"/>
        <v/>
      </c>
      <c r="AK79" s="62" t="str">
        <f t="shared" si="24"/>
        <v/>
      </c>
      <c r="AL79" s="62"/>
      <c r="AM79" s="62"/>
      <c r="AN79" s="108"/>
      <c r="AO79" s="102"/>
      <c r="AP79" s="102"/>
      <c r="AQ79" s="97">
        <f t="shared" si="26"/>
        <v>0</v>
      </c>
      <c r="AR79" s="63">
        <f t="shared" si="19"/>
        <v>0</v>
      </c>
      <c r="AS79" s="64" t="str">
        <f t="shared" si="25"/>
        <v/>
      </c>
    </row>
    <row r="80" spans="1:45" ht="14.25" customHeight="1">
      <c r="A80" s="62">
        <v>74</v>
      </c>
      <c r="B80" s="62" t="s">
        <v>191</v>
      </c>
      <c r="C80" s="62" t="s">
        <v>192</v>
      </c>
      <c r="D80" s="97"/>
      <c r="E80" s="62"/>
      <c r="F80" s="62"/>
      <c r="G80" s="62"/>
      <c r="H80" s="62"/>
      <c r="I80" s="64"/>
      <c r="J80" s="62"/>
      <c r="K80" s="62"/>
      <c r="L80" s="62"/>
      <c r="M80" s="114"/>
      <c r="N80" s="114"/>
      <c r="O80" s="62"/>
      <c r="P80" s="62"/>
      <c r="Q80" s="198"/>
      <c r="R80" s="62"/>
      <c r="S80" s="62"/>
      <c r="T80" s="62"/>
      <c r="U80" s="62"/>
      <c r="V80" s="97"/>
      <c r="W80" s="62"/>
      <c r="X80" s="62"/>
      <c r="Y80" s="62">
        <f t="shared" si="20"/>
        <v>0</v>
      </c>
      <c r="Z80" s="114"/>
      <c r="AA80" s="62"/>
      <c r="AB80" s="62"/>
      <c r="AC80" s="62">
        <f t="shared" si="21"/>
        <v>1</v>
      </c>
      <c r="AD80" s="98">
        <f t="shared" si="18"/>
        <v>0</v>
      </c>
      <c r="AE80" s="99">
        <f t="shared" si="22"/>
        <v>0</v>
      </c>
      <c r="AF80" s="98">
        <f t="shared" si="17"/>
        <v>0</v>
      </c>
      <c r="AG80" s="100"/>
      <c r="AH80" s="63"/>
      <c r="AI80" s="101"/>
      <c r="AJ80" s="64" t="str">
        <f t="shared" si="23"/>
        <v/>
      </c>
      <c r="AK80" s="62" t="str">
        <f t="shared" si="24"/>
        <v/>
      </c>
      <c r="AL80" s="62"/>
      <c r="AM80" s="62"/>
      <c r="AN80" s="108"/>
      <c r="AO80" s="102"/>
      <c r="AP80" s="102"/>
      <c r="AQ80" s="97">
        <f t="shared" si="26"/>
        <v>0</v>
      </c>
      <c r="AR80" s="63">
        <f t="shared" si="19"/>
        <v>0</v>
      </c>
      <c r="AS80" s="64" t="str">
        <f t="shared" si="25"/>
        <v/>
      </c>
    </row>
    <row r="81" spans="1:45" ht="14.25" customHeight="1">
      <c r="A81" s="62">
        <v>75</v>
      </c>
      <c r="B81" s="62" t="s">
        <v>191</v>
      </c>
      <c r="C81" s="62" t="s">
        <v>192</v>
      </c>
      <c r="D81" s="97"/>
      <c r="E81" s="62"/>
      <c r="F81" s="62"/>
      <c r="G81" s="62"/>
      <c r="H81" s="62"/>
      <c r="I81" s="64"/>
      <c r="J81" s="62"/>
      <c r="K81" s="62"/>
      <c r="L81" s="62"/>
      <c r="M81" s="114"/>
      <c r="N81" s="114"/>
      <c r="O81" s="62"/>
      <c r="P81" s="62"/>
      <c r="Q81" s="198"/>
      <c r="R81" s="62"/>
      <c r="S81" s="62"/>
      <c r="T81" s="62"/>
      <c r="U81" s="62"/>
      <c r="V81" s="97"/>
      <c r="W81" s="62"/>
      <c r="X81" s="62"/>
      <c r="Y81" s="62">
        <f t="shared" si="20"/>
        <v>0</v>
      </c>
      <c r="Z81" s="114"/>
      <c r="AA81" s="62"/>
      <c r="AB81" s="62"/>
      <c r="AC81" s="62">
        <f t="shared" si="21"/>
        <v>1</v>
      </c>
      <c r="AD81" s="98">
        <f t="shared" si="18"/>
        <v>0</v>
      </c>
      <c r="AE81" s="99">
        <f t="shared" si="22"/>
        <v>0</v>
      </c>
      <c r="AF81" s="98">
        <f t="shared" ref="AF81:AF110" si="27">AA81</f>
        <v>0</v>
      </c>
      <c r="AG81" s="100"/>
      <c r="AH81" s="63"/>
      <c r="AI81" s="101"/>
      <c r="AJ81" s="64" t="str">
        <f t="shared" si="23"/>
        <v/>
      </c>
      <c r="AK81" s="62" t="str">
        <f t="shared" si="24"/>
        <v/>
      </c>
      <c r="AL81" s="62"/>
      <c r="AM81" s="62"/>
      <c r="AN81" s="108"/>
      <c r="AO81" s="102"/>
      <c r="AP81" s="102"/>
      <c r="AQ81" s="97">
        <f t="shared" si="26"/>
        <v>0</v>
      </c>
      <c r="AR81" s="63">
        <f t="shared" si="19"/>
        <v>0</v>
      </c>
      <c r="AS81" s="64" t="str">
        <f t="shared" si="25"/>
        <v/>
      </c>
    </row>
    <row r="82" spans="1:45" ht="14.25" customHeight="1">
      <c r="A82" s="62">
        <v>76</v>
      </c>
      <c r="B82" s="62" t="s">
        <v>191</v>
      </c>
      <c r="C82" s="62" t="s">
        <v>192</v>
      </c>
      <c r="D82" s="97"/>
      <c r="E82" s="62"/>
      <c r="F82" s="62"/>
      <c r="G82" s="62"/>
      <c r="H82" s="62"/>
      <c r="I82" s="64"/>
      <c r="J82" s="62"/>
      <c r="K82" s="62"/>
      <c r="L82" s="62"/>
      <c r="M82" s="114"/>
      <c r="N82" s="114"/>
      <c r="O82" s="62"/>
      <c r="P82" s="62"/>
      <c r="Q82" s="198"/>
      <c r="R82" s="62"/>
      <c r="S82" s="62"/>
      <c r="T82" s="62"/>
      <c r="U82" s="62"/>
      <c r="V82" s="97"/>
      <c r="W82" s="62"/>
      <c r="X82" s="62"/>
      <c r="Y82" s="62">
        <f t="shared" si="20"/>
        <v>0</v>
      </c>
      <c r="Z82" s="114"/>
      <c r="AA82" s="62"/>
      <c r="AB82" s="62"/>
      <c r="AC82" s="62">
        <f t="shared" si="21"/>
        <v>1</v>
      </c>
      <c r="AD82" s="98">
        <f t="shared" si="18"/>
        <v>0</v>
      </c>
      <c r="AE82" s="99">
        <f t="shared" si="22"/>
        <v>0</v>
      </c>
      <c r="AF82" s="98">
        <f t="shared" si="27"/>
        <v>0</v>
      </c>
      <c r="AG82" s="100"/>
      <c r="AH82" s="63"/>
      <c r="AI82" s="101"/>
      <c r="AJ82" s="64" t="str">
        <f t="shared" si="23"/>
        <v/>
      </c>
      <c r="AK82" s="62" t="str">
        <f t="shared" si="24"/>
        <v/>
      </c>
      <c r="AL82" s="62"/>
      <c r="AM82" s="62"/>
      <c r="AN82" s="62"/>
      <c r="AO82" s="102"/>
      <c r="AP82" s="102"/>
      <c r="AQ82" s="97">
        <f t="shared" si="26"/>
        <v>0</v>
      </c>
      <c r="AR82" s="63">
        <f t="shared" si="19"/>
        <v>0</v>
      </c>
      <c r="AS82" s="64" t="str">
        <f t="shared" si="25"/>
        <v/>
      </c>
    </row>
    <row r="83" spans="1:45" ht="14.25" customHeight="1">
      <c r="A83" s="62">
        <v>77</v>
      </c>
      <c r="B83" s="62" t="s">
        <v>191</v>
      </c>
      <c r="C83" s="62" t="s">
        <v>192</v>
      </c>
      <c r="D83" s="97"/>
      <c r="E83" s="62"/>
      <c r="F83" s="62"/>
      <c r="G83" s="62"/>
      <c r="H83" s="62"/>
      <c r="I83" s="64"/>
      <c r="J83" s="62"/>
      <c r="K83" s="62"/>
      <c r="L83" s="62"/>
      <c r="M83" s="114"/>
      <c r="N83" s="114"/>
      <c r="O83" s="62"/>
      <c r="P83" s="62"/>
      <c r="Q83" s="198"/>
      <c r="R83" s="62"/>
      <c r="S83" s="62"/>
      <c r="T83" s="62"/>
      <c r="U83" s="62"/>
      <c r="V83" s="97"/>
      <c r="W83" s="62"/>
      <c r="X83" s="62"/>
      <c r="Y83" s="62">
        <f t="shared" si="20"/>
        <v>0</v>
      </c>
      <c r="Z83" s="114"/>
      <c r="AA83" s="62"/>
      <c r="AB83" s="62"/>
      <c r="AC83" s="62">
        <f t="shared" si="21"/>
        <v>1</v>
      </c>
      <c r="AD83" s="98">
        <f t="shared" ref="AD83:AD110" si="28">IF(AB83="SERVICIO DE GARAJE LIVIANOS (HASTA 3,5 TN A EXCEPCIÓN DE MOTOCICLETAS) (DIARIOS)",3,IF(AB83="SERVICIO DE GARAJE PESADOS (DE 3,51 TN HASTA 12 TN) (DIARIOS)",9,IF(AB83="SERVICIO DE GARAJE (CENTROS DE RETENCIÓN) MOTOCICLETA",1,IF(AB83="SERVICIO DE GARAJE EXTRA PESADOS (MÁS DE 12 TN) (DIARIOS)",15,0))))</f>
        <v>0</v>
      </c>
      <c r="AE83" s="99">
        <f t="shared" si="22"/>
        <v>0</v>
      </c>
      <c r="AF83" s="98">
        <f t="shared" si="27"/>
        <v>0</v>
      </c>
      <c r="AG83" s="100"/>
      <c r="AH83" s="63"/>
      <c r="AI83" s="101"/>
      <c r="AJ83" s="64" t="str">
        <f t="shared" si="23"/>
        <v/>
      </c>
      <c r="AK83" s="62" t="str">
        <f t="shared" si="24"/>
        <v/>
      </c>
      <c r="AL83" s="62"/>
      <c r="AM83" s="62"/>
      <c r="AN83" s="108"/>
      <c r="AO83" s="102"/>
      <c r="AP83" s="102"/>
      <c r="AQ83" s="97">
        <f t="shared" si="26"/>
        <v>0</v>
      </c>
      <c r="AR83" s="63">
        <f t="shared" si="19"/>
        <v>0</v>
      </c>
      <c r="AS83" s="64" t="str">
        <f t="shared" si="25"/>
        <v/>
      </c>
    </row>
    <row r="84" spans="1:45" ht="14.25" customHeight="1">
      <c r="A84" s="62">
        <v>78</v>
      </c>
      <c r="B84" s="62" t="s">
        <v>191</v>
      </c>
      <c r="C84" s="62" t="s">
        <v>192</v>
      </c>
      <c r="D84" s="97"/>
      <c r="E84" s="62"/>
      <c r="F84" s="62"/>
      <c r="G84" s="62"/>
      <c r="H84" s="62"/>
      <c r="I84" s="64"/>
      <c r="J84" s="62"/>
      <c r="K84" s="62"/>
      <c r="L84" s="62"/>
      <c r="M84" s="114"/>
      <c r="N84" s="114"/>
      <c r="O84" s="62"/>
      <c r="P84" s="62"/>
      <c r="Q84" s="198"/>
      <c r="R84" s="62"/>
      <c r="S84" s="62"/>
      <c r="T84" s="62"/>
      <c r="U84" s="62"/>
      <c r="V84" s="97"/>
      <c r="W84" s="62"/>
      <c r="X84" s="62"/>
      <c r="Y84" s="62">
        <f t="shared" si="20"/>
        <v>0</v>
      </c>
      <c r="Z84" s="114"/>
      <c r="AA84" s="62"/>
      <c r="AB84" s="62"/>
      <c r="AC84" s="62">
        <f t="shared" si="21"/>
        <v>1</v>
      </c>
      <c r="AD84" s="98">
        <f t="shared" si="28"/>
        <v>0</v>
      </c>
      <c r="AE84" s="99">
        <f t="shared" si="22"/>
        <v>0</v>
      </c>
      <c r="AF84" s="98">
        <f t="shared" si="27"/>
        <v>0</v>
      </c>
      <c r="AG84" s="100"/>
      <c r="AH84" s="63"/>
      <c r="AI84" s="101"/>
      <c r="AJ84" s="64" t="str">
        <f t="shared" si="23"/>
        <v/>
      </c>
      <c r="AK84" s="62" t="str">
        <f t="shared" si="24"/>
        <v/>
      </c>
      <c r="AL84" s="62"/>
      <c r="AM84" s="62"/>
      <c r="AN84" s="62"/>
      <c r="AO84" s="102"/>
      <c r="AP84" s="102"/>
      <c r="AQ84" s="97">
        <f t="shared" si="26"/>
        <v>0</v>
      </c>
      <c r="AR84" s="63">
        <f t="shared" si="19"/>
        <v>0</v>
      </c>
      <c r="AS84" s="64" t="str">
        <f t="shared" si="25"/>
        <v/>
      </c>
    </row>
    <row r="85" spans="1:45" ht="14.25" customHeight="1">
      <c r="A85" s="62">
        <v>79</v>
      </c>
      <c r="B85" s="62" t="s">
        <v>191</v>
      </c>
      <c r="C85" s="62" t="s">
        <v>192</v>
      </c>
      <c r="D85" s="97"/>
      <c r="E85" s="62"/>
      <c r="F85" s="62"/>
      <c r="G85" s="62"/>
      <c r="H85" s="62"/>
      <c r="I85" s="64"/>
      <c r="J85" s="62"/>
      <c r="K85" s="62"/>
      <c r="L85" s="62"/>
      <c r="M85" s="114"/>
      <c r="N85" s="114"/>
      <c r="O85" s="62"/>
      <c r="P85" s="62"/>
      <c r="Q85" s="198"/>
      <c r="R85" s="62"/>
      <c r="S85" s="62"/>
      <c r="T85" s="62"/>
      <c r="U85" s="62"/>
      <c r="V85" s="97"/>
      <c r="W85" s="62"/>
      <c r="X85" s="62"/>
      <c r="Y85" s="62">
        <f t="shared" si="20"/>
        <v>0</v>
      </c>
      <c r="Z85" s="114"/>
      <c r="AA85" s="62"/>
      <c r="AB85" s="62"/>
      <c r="AC85" s="62">
        <f t="shared" si="21"/>
        <v>1</v>
      </c>
      <c r="AD85" s="98">
        <f t="shared" si="28"/>
        <v>0</v>
      </c>
      <c r="AE85" s="99">
        <f t="shared" si="22"/>
        <v>0</v>
      </c>
      <c r="AF85" s="98">
        <f t="shared" si="27"/>
        <v>0</v>
      </c>
      <c r="AG85" s="100"/>
      <c r="AH85" s="63"/>
      <c r="AI85" s="101"/>
      <c r="AJ85" s="64" t="str">
        <f t="shared" si="23"/>
        <v/>
      </c>
      <c r="AK85" s="62" t="str">
        <f t="shared" si="24"/>
        <v/>
      </c>
      <c r="AL85" s="62"/>
      <c r="AM85" s="62"/>
      <c r="AN85" s="108"/>
      <c r="AO85" s="102"/>
      <c r="AP85" s="102"/>
      <c r="AQ85" s="97">
        <f t="shared" si="26"/>
        <v>0</v>
      </c>
      <c r="AR85" s="63">
        <f t="shared" si="19"/>
        <v>0</v>
      </c>
      <c r="AS85" s="64" t="str">
        <f t="shared" si="25"/>
        <v/>
      </c>
    </row>
    <row r="86" spans="1:45" ht="14.25" customHeight="1">
      <c r="A86" s="62">
        <v>80</v>
      </c>
      <c r="B86" s="62" t="s">
        <v>191</v>
      </c>
      <c r="C86" s="62" t="s">
        <v>192</v>
      </c>
      <c r="D86" s="97"/>
      <c r="E86" s="62"/>
      <c r="F86" s="62"/>
      <c r="G86" s="62"/>
      <c r="H86" s="62"/>
      <c r="I86" s="64"/>
      <c r="J86" s="62"/>
      <c r="K86" s="62"/>
      <c r="L86" s="62"/>
      <c r="M86" s="114"/>
      <c r="N86" s="114"/>
      <c r="O86" s="62"/>
      <c r="P86" s="62"/>
      <c r="Q86" s="198"/>
      <c r="R86" s="62"/>
      <c r="S86" s="62"/>
      <c r="T86" s="62"/>
      <c r="U86" s="62"/>
      <c r="V86" s="97"/>
      <c r="W86" s="62"/>
      <c r="X86" s="62"/>
      <c r="Y86" s="62">
        <f t="shared" si="20"/>
        <v>0</v>
      </c>
      <c r="Z86" s="114"/>
      <c r="AA86" s="62"/>
      <c r="AB86" s="62"/>
      <c r="AC86" s="62">
        <f t="shared" si="21"/>
        <v>1</v>
      </c>
      <c r="AD86" s="98">
        <f t="shared" si="28"/>
        <v>0</v>
      </c>
      <c r="AE86" s="99">
        <f t="shared" si="22"/>
        <v>0</v>
      </c>
      <c r="AF86" s="98">
        <f t="shared" si="27"/>
        <v>0</v>
      </c>
      <c r="AG86" s="100"/>
      <c r="AH86" s="63"/>
      <c r="AI86" s="101"/>
      <c r="AJ86" s="64" t="str">
        <f t="shared" si="23"/>
        <v/>
      </c>
      <c r="AK86" s="62" t="str">
        <f t="shared" si="24"/>
        <v/>
      </c>
      <c r="AL86" s="62"/>
      <c r="AM86" s="62"/>
      <c r="AN86" s="108"/>
      <c r="AO86" s="102"/>
      <c r="AP86" s="102"/>
      <c r="AQ86" s="97">
        <f t="shared" si="26"/>
        <v>0</v>
      </c>
      <c r="AR86" s="63">
        <f t="shared" ref="AR86:AR110" si="29">AH86</f>
        <v>0</v>
      </c>
      <c r="AS86" s="64" t="str">
        <f t="shared" si="25"/>
        <v/>
      </c>
    </row>
    <row r="87" spans="1:45" ht="14.25" customHeight="1">
      <c r="A87" s="62">
        <v>81</v>
      </c>
      <c r="B87" s="62" t="s">
        <v>191</v>
      </c>
      <c r="C87" s="62" t="s">
        <v>192</v>
      </c>
      <c r="D87" s="97"/>
      <c r="E87" s="62"/>
      <c r="F87" s="62"/>
      <c r="G87" s="62"/>
      <c r="H87" s="62"/>
      <c r="I87" s="64"/>
      <c r="J87" s="62"/>
      <c r="K87" s="62"/>
      <c r="L87" s="62"/>
      <c r="M87" s="114"/>
      <c r="N87" s="114"/>
      <c r="O87" s="62"/>
      <c r="P87" s="62"/>
      <c r="Q87" s="198"/>
      <c r="R87" s="62"/>
      <c r="S87" s="62"/>
      <c r="T87" s="62"/>
      <c r="U87" s="62"/>
      <c r="V87" s="97"/>
      <c r="W87" s="62"/>
      <c r="X87" s="62"/>
      <c r="Y87" s="62">
        <f t="shared" si="20"/>
        <v>0</v>
      </c>
      <c r="Z87" s="114"/>
      <c r="AA87" s="62"/>
      <c r="AB87" s="62"/>
      <c r="AC87" s="62">
        <f t="shared" si="21"/>
        <v>1</v>
      </c>
      <c r="AD87" s="98">
        <f t="shared" si="28"/>
        <v>0</v>
      </c>
      <c r="AE87" s="99">
        <f t="shared" si="22"/>
        <v>0</v>
      </c>
      <c r="AF87" s="98">
        <f t="shared" si="27"/>
        <v>0</v>
      </c>
      <c r="AG87" s="100"/>
      <c r="AH87" s="63"/>
      <c r="AI87" s="101"/>
      <c r="AJ87" s="64" t="str">
        <f t="shared" si="23"/>
        <v/>
      </c>
      <c r="AK87" s="62" t="str">
        <f t="shared" si="24"/>
        <v/>
      </c>
      <c r="AL87" s="62"/>
      <c r="AM87" s="62"/>
      <c r="AN87" s="108"/>
      <c r="AO87" s="102"/>
      <c r="AP87" s="102"/>
      <c r="AQ87" s="97">
        <f t="shared" si="26"/>
        <v>0</v>
      </c>
      <c r="AR87" s="63">
        <f t="shared" si="29"/>
        <v>0</v>
      </c>
      <c r="AS87" s="64" t="str">
        <f t="shared" si="25"/>
        <v/>
      </c>
    </row>
    <row r="88" spans="1:45" ht="14.25" customHeight="1">
      <c r="A88" s="62">
        <v>82</v>
      </c>
      <c r="B88" s="62" t="s">
        <v>191</v>
      </c>
      <c r="C88" s="62" t="s">
        <v>192</v>
      </c>
      <c r="D88" s="97"/>
      <c r="E88" s="62"/>
      <c r="F88" s="62"/>
      <c r="G88" s="62"/>
      <c r="H88" s="62"/>
      <c r="I88" s="64"/>
      <c r="J88" s="62"/>
      <c r="K88" s="62"/>
      <c r="L88" s="62"/>
      <c r="M88" s="114"/>
      <c r="N88" s="114"/>
      <c r="O88" s="62"/>
      <c r="P88" s="62"/>
      <c r="Q88" s="198"/>
      <c r="R88" s="62"/>
      <c r="S88" s="62"/>
      <c r="T88" s="62"/>
      <c r="U88" s="62"/>
      <c r="V88" s="97"/>
      <c r="W88" s="62"/>
      <c r="X88" s="62"/>
      <c r="Y88" s="62">
        <f t="shared" si="20"/>
        <v>0</v>
      </c>
      <c r="Z88" s="114"/>
      <c r="AA88" s="62"/>
      <c r="AB88" s="62"/>
      <c r="AC88" s="62">
        <f t="shared" si="21"/>
        <v>1</v>
      </c>
      <c r="AD88" s="98">
        <f t="shared" si="28"/>
        <v>0</v>
      </c>
      <c r="AE88" s="99">
        <f t="shared" si="22"/>
        <v>0</v>
      </c>
      <c r="AF88" s="98">
        <f t="shared" si="27"/>
        <v>0</v>
      </c>
      <c r="AG88" s="100"/>
      <c r="AH88" s="63"/>
      <c r="AI88" s="101"/>
      <c r="AJ88" s="64" t="str">
        <f t="shared" si="23"/>
        <v/>
      </c>
      <c r="AK88" s="62" t="str">
        <f t="shared" si="24"/>
        <v/>
      </c>
      <c r="AL88" s="62"/>
      <c r="AM88" s="62"/>
      <c r="AN88" s="108"/>
      <c r="AO88" s="102"/>
      <c r="AP88" s="102"/>
      <c r="AQ88" s="97">
        <f t="shared" si="26"/>
        <v>0</v>
      </c>
      <c r="AR88" s="63">
        <f t="shared" si="29"/>
        <v>0</v>
      </c>
      <c r="AS88" s="64" t="str">
        <f t="shared" si="25"/>
        <v/>
      </c>
    </row>
    <row r="89" spans="1:45" ht="14.25" customHeight="1">
      <c r="A89" s="62">
        <v>83</v>
      </c>
      <c r="B89" s="62" t="s">
        <v>191</v>
      </c>
      <c r="C89" s="62" t="s">
        <v>192</v>
      </c>
      <c r="D89" s="97"/>
      <c r="E89" s="62"/>
      <c r="F89" s="62"/>
      <c r="G89" s="62"/>
      <c r="H89" s="62"/>
      <c r="I89" s="64"/>
      <c r="J89" s="62"/>
      <c r="K89" s="62"/>
      <c r="L89" s="62"/>
      <c r="M89" s="114"/>
      <c r="N89" s="114"/>
      <c r="O89" s="62"/>
      <c r="P89" s="62"/>
      <c r="Q89" s="198"/>
      <c r="R89" s="62"/>
      <c r="S89" s="62"/>
      <c r="T89" s="62"/>
      <c r="U89" s="62"/>
      <c r="V89" s="97"/>
      <c r="W89" s="62"/>
      <c r="X89" s="62"/>
      <c r="Y89" s="62">
        <f t="shared" si="20"/>
        <v>0</v>
      </c>
      <c r="Z89" s="114"/>
      <c r="AA89" s="62"/>
      <c r="AB89" s="62"/>
      <c r="AC89" s="62">
        <f t="shared" si="21"/>
        <v>1</v>
      </c>
      <c r="AD89" s="98">
        <f t="shared" si="28"/>
        <v>0</v>
      </c>
      <c r="AE89" s="99">
        <f t="shared" si="22"/>
        <v>0</v>
      </c>
      <c r="AF89" s="98">
        <f t="shared" si="27"/>
        <v>0</v>
      </c>
      <c r="AG89" s="100"/>
      <c r="AH89" s="63"/>
      <c r="AI89" s="101"/>
      <c r="AJ89" s="64" t="str">
        <f t="shared" si="23"/>
        <v/>
      </c>
      <c r="AK89" s="62" t="str">
        <f t="shared" si="24"/>
        <v/>
      </c>
      <c r="AL89" s="62"/>
      <c r="AM89" s="62"/>
      <c r="AN89" s="62"/>
      <c r="AO89" s="102"/>
      <c r="AP89" s="102"/>
      <c r="AQ89" s="97">
        <f t="shared" si="26"/>
        <v>0</v>
      </c>
      <c r="AR89" s="63">
        <f t="shared" si="29"/>
        <v>0</v>
      </c>
      <c r="AS89" s="64" t="str">
        <f t="shared" si="25"/>
        <v/>
      </c>
    </row>
    <row r="90" spans="1:45" ht="14.25" customHeight="1">
      <c r="A90" s="62">
        <v>84</v>
      </c>
      <c r="B90" s="62" t="s">
        <v>191</v>
      </c>
      <c r="C90" s="62" t="s">
        <v>192</v>
      </c>
      <c r="D90" s="97"/>
      <c r="E90" s="62"/>
      <c r="F90" s="62"/>
      <c r="G90" s="62"/>
      <c r="H90" s="62"/>
      <c r="I90" s="64"/>
      <c r="J90" s="62"/>
      <c r="K90" s="62"/>
      <c r="L90" s="62"/>
      <c r="M90" s="114"/>
      <c r="N90" s="114"/>
      <c r="O90" s="62"/>
      <c r="P90" s="62"/>
      <c r="Q90" s="198"/>
      <c r="R90" s="62"/>
      <c r="S90" s="62"/>
      <c r="T90" s="62"/>
      <c r="U90" s="62"/>
      <c r="V90" s="97"/>
      <c r="W90" s="62"/>
      <c r="X90" s="62"/>
      <c r="Y90" s="62">
        <f t="shared" si="20"/>
        <v>0</v>
      </c>
      <c r="Z90" s="114"/>
      <c r="AA90" s="62"/>
      <c r="AB90" s="62"/>
      <c r="AC90" s="62">
        <f t="shared" si="21"/>
        <v>1</v>
      </c>
      <c r="AD90" s="98">
        <f t="shared" si="28"/>
        <v>0</v>
      </c>
      <c r="AE90" s="99">
        <f t="shared" si="22"/>
        <v>0</v>
      </c>
      <c r="AF90" s="98">
        <f t="shared" si="27"/>
        <v>0</v>
      </c>
      <c r="AG90" s="100"/>
      <c r="AH90" s="63"/>
      <c r="AI90" s="101"/>
      <c r="AJ90" s="64" t="str">
        <f t="shared" si="23"/>
        <v/>
      </c>
      <c r="AK90" s="62" t="str">
        <f t="shared" si="24"/>
        <v/>
      </c>
      <c r="AL90" s="62"/>
      <c r="AM90" s="62"/>
      <c r="AN90" s="108"/>
      <c r="AO90" s="102"/>
      <c r="AP90" s="102"/>
      <c r="AQ90" s="97">
        <f t="shared" si="26"/>
        <v>0</v>
      </c>
      <c r="AR90" s="63">
        <f t="shared" si="29"/>
        <v>0</v>
      </c>
      <c r="AS90" s="64" t="str">
        <f t="shared" si="25"/>
        <v/>
      </c>
    </row>
    <row r="91" spans="1:45" ht="14.25" customHeight="1">
      <c r="A91" s="62">
        <v>85</v>
      </c>
      <c r="B91" s="62" t="s">
        <v>191</v>
      </c>
      <c r="C91" s="62" t="s">
        <v>192</v>
      </c>
      <c r="D91" s="97"/>
      <c r="E91" s="62"/>
      <c r="F91" s="62"/>
      <c r="G91" s="62"/>
      <c r="H91" s="62"/>
      <c r="I91" s="64"/>
      <c r="J91" s="62"/>
      <c r="K91" s="62"/>
      <c r="L91" s="62"/>
      <c r="M91" s="114"/>
      <c r="N91" s="114"/>
      <c r="O91" s="62"/>
      <c r="P91" s="62"/>
      <c r="Q91" s="198"/>
      <c r="R91" s="62"/>
      <c r="S91" s="62"/>
      <c r="T91" s="62"/>
      <c r="U91" s="62"/>
      <c r="V91" s="97"/>
      <c r="W91" s="62"/>
      <c r="X91" s="62"/>
      <c r="Y91" s="62">
        <f t="shared" si="20"/>
        <v>0</v>
      </c>
      <c r="Z91" s="114"/>
      <c r="AA91" s="62"/>
      <c r="AB91" s="62"/>
      <c r="AC91" s="62">
        <f t="shared" si="21"/>
        <v>1</v>
      </c>
      <c r="AD91" s="98">
        <f t="shared" si="28"/>
        <v>0</v>
      </c>
      <c r="AE91" s="99">
        <f t="shared" si="22"/>
        <v>0</v>
      </c>
      <c r="AF91" s="98">
        <f t="shared" si="27"/>
        <v>0</v>
      </c>
      <c r="AG91" s="100"/>
      <c r="AH91" s="63"/>
      <c r="AI91" s="101"/>
      <c r="AJ91" s="64" t="str">
        <f t="shared" si="23"/>
        <v/>
      </c>
      <c r="AK91" s="62" t="str">
        <f t="shared" si="24"/>
        <v/>
      </c>
      <c r="AL91" s="62"/>
      <c r="AM91" s="62"/>
      <c r="AN91" s="108"/>
      <c r="AO91" s="102"/>
      <c r="AP91" s="102"/>
      <c r="AQ91" s="97">
        <f t="shared" si="26"/>
        <v>0</v>
      </c>
      <c r="AR91" s="63">
        <f t="shared" si="29"/>
        <v>0</v>
      </c>
      <c r="AS91" s="64" t="str">
        <f t="shared" si="25"/>
        <v/>
      </c>
    </row>
    <row r="92" spans="1:45" ht="14.25" customHeight="1">
      <c r="A92" s="62">
        <v>86</v>
      </c>
      <c r="B92" s="62" t="s">
        <v>191</v>
      </c>
      <c r="C92" s="62" t="s">
        <v>192</v>
      </c>
      <c r="D92" s="97"/>
      <c r="E92" s="62"/>
      <c r="F92" s="62"/>
      <c r="G92" s="62"/>
      <c r="H92" s="62"/>
      <c r="I92" s="64"/>
      <c r="J92" s="62"/>
      <c r="K92" s="62"/>
      <c r="L92" s="62"/>
      <c r="M92" s="114"/>
      <c r="N92" s="114"/>
      <c r="O92" s="62"/>
      <c r="P92" s="62"/>
      <c r="Q92" s="198"/>
      <c r="R92" s="62"/>
      <c r="S92" s="62"/>
      <c r="T92" s="62"/>
      <c r="U92" s="62"/>
      <c r="V92" s="97"/>
      <c r="W92" s="62"/>
      <c r="X92" s="62"/>
      <c r="Y92" s="62">
        <f t="shared" si="20"/>
        <v>0</v>
      </c>
      <c r="Z92" s="114"/>
      <c r="AA92" s="62"/>
      <c r="AB92" s="62"/>
      <c r="AC92" s="62">
        <f t="shared" si="21"/>
        <v>1</v>
      </c>
      <c r="AD92" s="98">
        <f t="shared" si="28"/>
        <v>0</v>
      </c>
      <c r="AE92" s="99">
        <f t="shared" si="22"/>
        <v>0</v>
      </c>
      <c r="AF92" s="98">
        <f t="shared" si="27"/>
        <v>0</v>
      </c>
      <c r="AG92" s="100"/>
      <c r="AH92" s="63"/>
      <c r="AI92" s="101"/>
      <c r="AJ92" s="64" t="str">
        <f t="shared" si="23"/>
        <v/>
      </c>
      <c r="AK92" s="62" t="str">
        <f t="shared" si="24"/>
        <v/>
      </c>
      <c r="AL92" s="62"/>
      <c r="AM92" s="62"/>
      <c r="AN92" s="108"/>
      <c r="AO92" s="102"/>
      <c r="AP92" s="102"/>
      <c r="AQ92" s="97">
        <f t="shared" si="26"/>
        <v>0</v>
      </c>
      <c r="AR92" s="63">
        <f t="shared" si="29"/>
        <v>0</v>
      </c>
      <c r="AS92" s="64" t="str">
        <f t="shared" si="25"/>
        <v/>
      </c>
    </row>
    <row r="93" spans="1:45" ht="14.25" customHeight="1">
      <c r="A93" s="62">
        <v>87</v>
      </c>
      <c r="B93" s="62" t="s">
        <v>191</v>
      </c>
      <c r="C93" s="62" t="s">
        <v>192</v>
      </c>
      <c r="D93" s="97"/>
      <c r="E93" s="62"/>
      <c r="F93" s="62"/>
      <c r="G93" s="62"/>
      <c r="H93" s="103"/>
      <c r="I93" s="132"/>
      <c r="J93" s="62"/>
      <c r="K93" s="62"/>
      <c r="L93" s="62"/>
      <c r="M93" s="114"/>
      <c r="N93" s="114"/>
      <c r="O93" s="62"/>
      <c r="P93" s="62"/>
      <c r="Q93" s="198"/>
      <c r="R93" s="62"/>
      <c r="S93" s="62"/>
      <c r="T93" s="62"/>
      <c r="U93" s="62"/>
      <c r="V93" s="97"/>
      <c r="W93" s="62"/>
      <c r="X93" s="62"/>
      <c r="Y93" s="62">
        <f t="shared" si="20"/>
        <v>0</v>
      </c>
      <c r="Z93" s="114"/>
      <c r="AA93" s="62"/>
      <c r="AB93" s="62"/>
      <c r="AC93" s="62">
        <f t="shared" si="21"/>
        <v>1</v>
      </c>
      <c r="AD93" s="98">
        <f t="shared" si="28"/>
        <v>0</v>
      </c>
      <c r="AE93" s="99">
        <f t="shared" si="22"/>
        <v>0</v>
      </c>
      <c r="AF93" s="98">
        <f t="shared" si="27"/>
        <v>0</v>
      </c>
      <c r="AG93" s="100"/>
      <c r="AH93" s="63"/>
      <c r="AI93" s="101"/>
      <c r="AJ93" s="64" t="str">
        <f t="shared" si="23"/>
        <v/>
      </c>
      <c r="AK93" s="62" t="str">
        <f t="shared" si="24"/>
        <v/>
      </c>
      <c r="AL93" s="62"/>
      <c r="AM93" s="62"/>
      <c r="AN93" s="108"/>
      <c r="AO93" s="102"/>
      <c r="AP93" s="102"/>
      <c r="AQ93" s="97">
        <f t="shared" si="26"/>
        <v>0</v>
      </c>
      <c r="AR93" s="63">
        <f t="shared" si="29"/>
        <v>0</v>
      </c>
      <c r="AS93" s="64" t="str">
        <f t="shared" si="25"/>
        <v/>
      </c>
    </row>
    <row r="94" spans="1:45" ht="14.25" customHeight="1">
      <c r="A94" s="62">
        <v>88</v>
      </c>
      <c r="B94" s="62" t="s">
        <v>191</v>
      </c>
      <c r="C94" s="62" t="s">
        <v>192</v>
      </c>
      <c r="D94" s="97"/>
      <c r="E94" s="62"/>
      <c r="F94" s="62"/>
      <c r="G94" s="62"/>
      <c r="H94" s="62"/>
      <c r="I94" s="64"/>
      <c r="J94" s="62"/>
      <c r="K94" s="62"/>
      <c r="L94" s="62"/>
      <c r="M94" s="114"/>
      <c r="N94" s="114"/>
      <c r="O94" s="62"/>
      <c r="P94" s="62"/>
      <c r="Q94" s="198"/>
      <c r="R94" s="62"/>
      <c r="S94" s="62"/>
      <c r="T94" s="62"/>
      <c r="U94" s="62"/>
      <c r="V94" s="97"/>
      <c r="W94" s="62"/>
      <c r="X94" s="62"/>
      <c r="Y94" s="62">
        <f t="shared" si="20"/>
        <v>0</v>
      </c>
      <c r="Z94" s="114"/>
      <c r="AA94" s="62"/>
      <c r="AB94" s="62"/>
      <c r="AC94" s="62">
        <f t="shared" si="21"/>
        <v>1</v>
      </c>
      <c r="AD94" s="98">
        <f t="shared" si="28"/>
        <v>0</v>
      </c>
      <c r="AE94" s="99">
        <f t="shared" si="22"/>
        <v>0</v>
      </c>
      <c r="AF94" s="98">
        <f t="shared" si="27"/>
        <v>0</v>
      </c>
      <c r="AG94" s="100"/>
      <c r="AH94" s="63"/>
      <c r="AI94" s="101"/>
      <c r="AJ94" s="64" t="str">
        <f t="shared" si="23"/>
        <v/>
      </c>
      <c r="AK94" s="62" t="str">
        <f t="shared" si="24"/>
        <v/>
      </c>
      <c r="AL94" s="62"/>
      <c r="AM94" s="62"/>
      <c r="AN94" s="108"/>
      <c r="AO94" s="102"/>
      <c r="AP94" s="102"/>
      <c r="AQ94" s="97">
        <f t="shared" si="26"/>
        <v>0</v>
      </c>
      <c r="AR94" s="63">
        <f t="shared" si="29"/>
        <v>0</v>
      </c>
      <c r="AS94" s="64" t="str">
        <f t="shared" si="25"/>
        <v/>
      </c>
    </row>
    <row r="95" spans="1:45" ht="14.25" customHeight="1">
      <c r="A95" s="62">
        <v>89</v>
      </c>
      <c r="B95" s="62" t="s">
        <v>191</v>
      </c>
      <c r="C95" s="62" t="s">
        <v>192</v>
      </c>
      <c r="D95" s="97"/>
      <c r="E95" s="62"/>
      <c r="F95" s="62"/>
      <c r="G95" s="62"/>
      <c r="H95" s="62"/>
      <c r="I95" s="64"/>
      <c r="J95" s="62"/>
      <c r="K95" s="62"/>
      <c r="L95" s="62"/>
      <c r="M95" s="114"/>
      <c r="N95" s="114"/>
      <c r="O95" s="62"/>
      <c r="P95" s="62"/>
      <c r="Q95" s="198"/>
      <c r="R95" s="62"/>
      <c r="S95" s="62"/>
      <c r="T95" s="62"/>
      <c r="U95" s="62"/>
      <c r="V95" s="97"/>
      <c r="W95" s="62"/>
      <c r="X95" s="62"/>
      <c r="Y95" s="62">
        <f t="shared" si="20"/>
        <v>0</v>
      </c>
      <c r="Z95" s="114"/>
      <c r="AA95" s="62"/>
      <c r="AB95" s="62"/>
      <c r="AC95" s="62">
        <f t="shared" si="21"/>
        <v>1</v>
      </c>
      <c r="AD95" s="98">
        <f t="shared" si="28"/>
        <v>0</v>
      </c>
      <c r="AE95" s="99">
        <f t="shared" si="22"/>
        <v>0</v>
      </c>
      <c r="AF95" s="98">
        <f t="shared" si="27"/>
        <v>0</v>
      </c>
      <c r="AG95" s="100"/>
      <c r="AH95" s="63"/>
      <c r="AI95" s="101"/>
      <c r="AJ95" s="64" t="str">
        <f t="shared" si="23"/>
        <v/>
      </c>
      <c r="AK95" s="62" t="str">
        <f t="shared" si="24"/>
        <v/>
      </c>
      <c r="AL95" s="62"/>
      <c r="AM95" s="62"/>
      <c r="AN95" s="108"/>
      <c r="AO95" s="102"/>
      <c r="AP95" s="102"/>
      <c r="AQ95" s="97">
        <f t="shared" si="26"/>
        <v>0</v>
      </c>
      <c r="AR95" s="63">
        <f t="shared" si="29"/>
        <v>0</v>
      </c>
      <c r="AS95" s="64" t="str">
        <f t="shared" si="25"/>
        <v/>
      </c>
    </row>
    <row r="96" spans="1:45" ht="14.25" customHeight="1">
      <c r="A96" s="62">
        <v>90</v>
      </c>
      <c r="B96" s="62" t="s">
        <v>191</v>
      </c>
      <c r="C96" s="62" t="s">
        <v>192</v>
      </c>
      <c r="D96" s="97"/>
      <c r="E96" s="62"/>
      <c r="F96" s="62"/>
      <c r="G96" s="62"/>
      <c r="H96" s="62"/>
      <c r="I96" s="64"/>
      <c r="J96" s="62"/>
      <c r="K96" s="62"/>
      <c r="L96" s="62"/>
      <c r="M96" s="114"/>
      <c r="N96" s="114"/>
      <c r="O96" s="62"/>
      <c r="P96" s="62"/>
      <c r="Q96" s="198"/>
      <c r="R96" s="62"/>
      <c r="S96" s="62"/>
      <c r="T96" s="62"/>
      <c r="U96" s="62"/>
      <c r="V96" s="97"/>
      <c r="W96" s="62"/>
      <c r="X96" s="62"/>
      <c r="Y96" s="62">
        <f t="shared" si="20"/>
        <v>0</v>
      </c>
      <c r="Z96" s="114"/>
      <c r="AA96" s="62"/>
      <c r="AB96" s="62"/>
      <c r="AC96" s="62">
        <f t="shared" si="21"/>
        <v>1</v>
      </c>
      <c r="AD96" s="98">
        <f t="shared" si="28"/>
        <v>0</v>
      </c>
      <c r="AE96" s="99">
        <f t="shared" si="22"/>
        <v>0</v>
      </c>
      <c r="AF96" s="98">
        <f t="shared" si="27"/>
        <v>0</v>
      </c>
      <c r="AG96" s="100"/>
      <c r="AH96" s="63"/>
      <c r="AI96" s="101"/>
      <c r="AJ96" s="64" t="str">
        <f t="shared" si="23"/>
        <v/>
      </c>
      <c r="AK96" s="62" t="str">
        <f t="shared" si="24"/>
        <v/>
      </c>
      <c r="AL96" s="62"/>
      <c r="AM96" s="62"/>
      <c r="AN96" s="62"/>
      <c r="AO96" s="102"/>
      <c r="AP96" s="102"/>
      <c r="AQ96" s="97">
        <f t="shared" si="26"/>
        <v>0</v>
      </c>
      <c r="AR96" s="63">
        <f t="shared" si="29"/>
        <v>0</v>
      </c>
      <c r="AS96" s="64" t="str">
        <f t="shared" si="25"/>
        <v/>
      </c>
    </row>
    <row r="97" spans="1:50" ht="14.25" customHeight="1">
      <c r="A97" s="62">
        <v>91</v>
      </c>
      <c r="B97" s="62" t="s">
        <v>191</v>
      </c>
      <c r="C97" s="62" t="s">
        <v>192</v>
      </c>
      <c r="D97" s="97"/>
      <c r="E97" s="62"/>
      <c r="F97" s="62"/>
      <c r="G97" s="62"/>
      <c r="H97" s="62"/>
      <c r="I97" s="64"/>
      <c r="J97" s="62"/>
      <c r="K97" s="62"/>
      <c r="L97" s="62"/>
      <c r="M97" s="114"/>
      <c r="N97" s="114"/>
      <c r="O97" s="62"/>
      <c r="P97" s="62"/>
      <c r="Q97" s="198"/>
      <c r="R97" s="62"/>
      <c r="S97" s="62"/>
      <c r="T97" s="62"/>
      <c r="U97" s="62"/>
      <c r="V97" s="97"/>
      <c r="W97" s="62"/>
      <c r="X97" s="62"/>
      <c r="Y97" s="62">
        <f t="shared" si="20"/>
        <v>0</v>
      </c>
      <c r="Z97" s="114"/>
      <c r="AA97" s="62"/>
      <c r="AB97" s="62"/>
      <c r="AC97" s="62">
        <f t="shared" si="21"/>
        <v>1</v>
      </c>
      <c r="AD97" s="98">
        <f t="shared" si="28"/>
        <v>0</v>
      </c>
      <c r="AE97" s="99">
        <f t="shared" si="22"/>
        <v>0</v>
      </c>
      <c r="AF97" s="98">
        <f t="shared" si="27"/>
        <v>0</v>
      </c>
      <c r="AG97" s="100"/>
      <c r="AH97" s="63"/>
      <c r="AI97" s="101"/>
      <c r="AJ97" s="64" t="str">
        <f t="shared" si="23"/>
        <v/>
      </c>
      <c r="AK97" s="62" t="str">
        <f t="shared" si="24"/>
        <v/>
      </c>
      <c r="AL97" s="62"/>
      <c r="AM97" s="62"/>
      <c r="AN97" s="108"/>
      <c r="AO97" s="102"/>
      <c r="AP97" s="102"/>
      <c r="AQ97" s="97">
        <f t="shared" si="26"/>
        <v>0</v>
      </c>
      <c r="AR97" s="63">
        <f t="shared" si="29"/>
        <v>0</v>
      </c>
      <c r="AS97" s="64" t="str">
        <f t="shared" si="25"/>
        <v/>
      </c>
    </row>
    <row r="98" spans="1:50" ht="14.25" customHeight="1">
      <c r="A98" s="62">
        <v>92</v>
      </c>
      <c r="B98" s="62" t="s">
        <v>191</v>
      </c>
      <c r="C98" s="62" t="s">
        <v>192</v>
      </c>
      <c r="D98" s="97"/>
      <c r="E98" s="62"/>
      <c r="F98" s="62"/>
      <c r="G98" s="62"/>
      <c r="H98" s="62"/>
      <c r="I98" s="64"/>
      <c r="J98" s="62"/>
      <c r="K98" s="62"/>
      <c r="L98" s="62"/>
      <c r="M98" s="114"/>
      <c r="N98" s="114"/>
      <c r="O98" s="62"/>
      <c r="P98" s="62"/>
      <c r="Q98" s="198"/>
      <c r="R98" s="62"/>
      <c r="S98" s="62"/>
      <c r="T98" s="62"/>
      <c r="U98" s="62"/>
      <c r="V98" s="97"/>
      <c r="W98" s="62"/>
      <c r="X98" s="62"/>
      <c r="Y98" s="62">
        <f t="shared" si="20"/>
        <v>0</v>
      </c>
      <c r="Z98" s="114"/>
      <c r="AA98" s="62"/>
      <c r="AB98" s="62"/>
      <c r="AC98" s="62">
        <f t="shared" si="21"/>
        <v>1</v>
      </c>
      <c r="AD98" s="98">
        <f t="shared" si="28"/>
        <v>0</v>
      </c>
      <c r="AE98" s="99">
        <f t="shared" si="22"/>
        <v>0</v>
      </c>
      <c r="AF98" s="98">
        <f t="shared" si="27"/>
        <v>0</v>
      </c>
      <c r="AG98" s="100"/>
      <c r="AH98" s="63"/>
      <c r="AI98" s="101"/>
      <c r="AJ98" s="64" t="str">
        <f t="shared" si="23"/>
        <v/>
      </c>
      <c r="AK98" s="62" t="str">
        <f t="shared" si="24"/>
        <v/>
      </c>
      <c r="AL98" s="62"/>
      <c r="AM98" s="62"/>
      <c r="AN98" s="108"/>
      <c r="AO98" s="102"/>
      <c r="AP98" s="102"/>
      <c r="AQ98" s="97">
        <f t="shared" si="26"/>
        <v>0</v>
      </c>
      <c r="AR98" s="63">
        <f t="shared" si="29"/>
        <v>0</v>
      </c>
      <c r="AS98" s="64" t="str">
        <f t="shared" si="25"/>
        <v/>
      </c>
    </row>
    <row r="99" spans="1:50" ht="14.25" customHeight="1">
      <c r="A99" s="62">
        <v>93</v>
      </c>
      <c r="B99" s="62" t="s">
        <v>191</v>
      </c>
      <c r="C99" s="62" t="s">
        <v>192</v>
      </c>
      <c r="D99" s="97"/>
      <c r="E99" s="62"/>
      <c r="F99" s="62"/>
      <c r="G99" s="62"/>
      <c r="H99" s="62"/>
      <c r="I99" s="64"/>
      <c r="J99" s="62"/>
      <c r="K99" s="62"/>
      <c r="L99" s="62"/>
      <c r="M99" s="114"/>
      <c r="N99" s="114"/>
      <c r="O99" s="62"/>
      <c r="P99" s="62"/>
      <c r="Q99" s="198"/>
      <c r="R99" s="62"/>
      <c r="S99" s="62"/>
      <c r="T99" s="62"/>
      <c r="U99" s="62"/>
      <c r="V99" s="62"/>
      <c r="W99" s="62"/>
      <c r="X99" s="62"/>
      <c r="Y99" s="62">
        <f t="shared" si="20"/>
        <v>0</v>
      </c>
      <c r="Z99" s="114"/>
      <c r="AA99" s="62"/>
      <c r="AB99" s="62"/>
      <c r="AC99" s="62">
        <f t="shared" si="21"/>
        <v>1</v>
      </c>
      <c r="AD99" s="98">
        <f t="shared" si="28"/>
        <v>0</v>
      </c>
      <c r="AE99" s="99">
        <f t="shared" si="22"/>
        <v>0</v>
      </c>
      <c r="AF99" s="98">
        <f t="shared" si="27"/>
        <v>0</v>
      </c>
      <c r="AG99" s="100"/>
      <c r="AH99" s="63"/>
      <c r="AI99" s="101"/>
      <c r="AJ99" s="64" t="str">
        <f t="shared" si="23"/>
        <v/>
      </c>
      <c r="AK99" s="62" t="str">
        <f t="shared" si="24"/>
        <v/>
      </c>
      <c r="AL99" s="62"/>
      <c r="AM99" s="62"/>
      <c r="AN99" s="108"/>
      <c r="AO99" s="102"/>
      <c r="AP99" s="102"/>
      <c r="AQ99" s="97">
        <f t="shared" si="26"/>
        <v>0</v>
      </c>
      <c r="AR99" s="63">
        <f t="shared" si="29"/>
        <v>0</v>
      </c>
      <c r="AS99" s="64" t="str">
        <f t="shared" si="25"/>
        <v/>
      </c>
    </row>
    <row r="100" spans="1:50" ht="14.25" customHeight="1">
      <c r="A100" s="62">
        <v>94</v>
      </c>
      <c r="B100" s="62" t="s">
        <v>191</v>
      </c>
      <c r="C100" s="62" t="s">
        <v>192</v>
      </c>
      <c r="D100" s="97"/>
      <c r="E100" s="62"/>
      <c r="F100" s="62"/>
      <c r="G100" s="62"/>
      <c r="H100" s="62"/>
      <c r="I100" s="64"/>
      <c r="J100" s="62"/>
      <c r="K100" s="62"/>
      <c r="L100" s="62"/>
      <c r="M100" s="114"/>
      <c r="N100" s="114"/>
      <c r="O100" s="62"/>
      <c r="P100" s="62"/>
      <c r="Q100" s="198"/>
      <c r="R100" s="62"/>
      <c r="S100" s="62"/>
      <c r="T100" s="62"/>
      <c r="U100" s="62"/>
      <c r="V100" s="97"/>
      <c r="W100" s="62"/>
      <c r="X100" s="62"/>
      <c r="Y100" s="62">
        <f t="shared" si="20"/>
        <v>0</v>
      </c>
      <c r="Z100" s="114"/>
      <c r="AA100" s="62"/>
      <c r="AB100" s="62"/>
      <c r="AC100" s="62">
        <f t="shared" si="21"/>
        <v>1</v>
      </c>
      <c r="AD100" s="98">
        <f t="shared" si="28"/>
        <v>0</v>
      </c>
      <c r="AE100" s="99">
        <f t="shared" si="22"/>
        <v>0</v>
      </c>
      <c r="AF100" s="98">
        <f t="shared" si="27"/>
        <v>0</v>
      </c>
      <c r="AG100" s="100"/>
      <c r="AH100" s="63"/>
      <c r="AI100" s="101"/>
      <c r="AJ100" s="64" t="str">
        <f t="shared" si="23"/>
        <v/>
      </c>
      <c r="AK100" s="62" t="str">
        <f t="shared" si="24"/>
        <v/>
      </c>
      <c r="AL100" s="62"/>
      <c r="AM100" s="62"/>
      <c r="AN100" s="108"/>
      <c r="AO100" s="102"/>
      <c r="AP100" s="102"/>
      <c r="AQ100" s="97">
        <f t="shared" si="26"/>
        <v>0</v>
      </c>
      <c r="AR100" s="63">
        <f t="shared" si="29"/>
        <v>0</v>
      </c>
      <c r="AS100" s="64" t="str">
        <f t="shared" si="25"/>
        <v/>
      </c>
    </row>
    <row r="101" spans="1:50" ht="14.25" customHeight="1">
      <c r="A101" s="62">
        <v>95</v>
      </c>
      <c r="B101" s="62" t="s">
        <v>191</v>
      </c>
      <c r="C101" s="62" t="s">
        <v>192</v>
      </c>
      <c r="D101" s="97"/>
      <c r="E101" s="62"/>
      <c r="F101" s="62"/>
      <c r="G101" s="62"/>
      <c r="H101" s="62"/>
      <c r="I101" s="64"/>
      <c r="J101" s="62"/>
      <c r="K101" s="62"/>
      <c r="L101" s="62"/>
      <c r="M101" s="114"/>
      <c r="N101" s="114"/>
      <c r="O101" s="62"/>
      <c r="P101" s="62"/>
      <c r="Q101" s="198"/>
      <c r="R101" s="62"/>
      <c r="S101" s="62"/>
      <c r="T101" s="62"/>
      <c r="U101" s="62"/>
      <c r="V101" s="97"/>
      <c r="W101" s="62"/>
      <c r="X101" s="62"/>
      <c r="Y101" s="62">
        <f t="shared" si="20"/>
        <v>0</v>
      </c>
      <c r="Z101" s="114"/>
      <c r="AA101" s="62"/>
      <c r="AB101" s="62"/>
      <c r="AC101" s="62">
        <f t="shared" si="21"/>
        <v>1</v>
      </c>
      <c r="AD101" s="98">
        <f t="shared" si="28"/>
        <v>0</v>
      </c>
      <c r="AE101" s="99">
        <f t="shared" si="22"/>
        <v>0</v>
      </c>
      <c r="AF101" s="98">
        <f t="shared" si="27"/>
        <v>0</v>
      </c>
      <c r="AG101" s="100"/>
      <c r="AH101" s="63"/>
      <c r="AI101" s="101"/>
      <c r="AJ101" s="64" t="str">
        <f t="shared" si="23"/>
        <v/>
      </c>
      <c r="AK101" s="62" t="str">
        <f t="shared" si="24"/>
        <v/>
      </c>
      <c r="AL101" s="62"/>
      <c r="AM101" s="62"/>
      <c r="AN101" s="108"/>
      <c r="AO101" s="102"/>
      <c r="AP101" s="102"/>
      <c r="AQ101" s="97">
        <f t="shared" si="26"/>
        <v>0</v>
      </c>
      <c r="AR101" s="63">
        <f t="shared" si="29"/>
        <v>0</v>
      </c>
      <c r="AS101" s="64" t="str">
        <f t="shared" si="25"/>
        <v/>
      </c>
    </row>
    <row r="102" spans="1:50" ht="14.25" customHeight="1">
      <c r="A102" s="62">
        <v>96</v>
      </c>
      <c r="B102" s="62" t="s">
        <v>191</v>
      </c>
      <c r="C102" s="62" t="s">
        <v>192</v>
      </c>
      <c r="D102" s="97"/>
      <c r="E102" s="62"/>
      <c r="F102" s="62"/>
      <c r="G102" s="62"/>
      <c r="H102" s="62"/>
      <c r="I102" s="64"/>
      <c r="J102" s="62"/>
      <c r="K102" s="62"/>
      <c r="L102" s="62"/>
      <c r="M102" s="114"/>
      <c r="N102" s="114"/>
      <c r="O102" s="62"/>
      <c r="P102" s="62"/>
      <c r="Q102" s="198"/>
      <c r="R102" s="62"/>
      <c r="S102" s="62"/>
      <c r="T102" s="62"/>
      <c r="U102" s="62"/>
      <c r="V102" s="97"/>
      <c r="W102" s="62"/>
      <c r="X102" s="62"/>
      <c r="Y102" s="62">
        <f t="shared" si="20"/>
        <v>0</v>
      </c>
      <c r="Z102" s="114"/>
      <c r="AA102" s="62"/>
      <c r="AB102" s="62"/>
      <c r="AC102" s="62">
        <f t="shared" si="21"/>
        <v>1</v>
      </c>
      <c r="AD102" s="98">
        <f t="shared" si="28"/>
        <v>0</v>
      </c>
      <c r="AE102" s="99">
        <f t="shared" si="22"/>
        <v>0</v>
      </c>
      <c r="AF102" s="98">
        <f t="shared" si="27"/>
        <v>0</v>
      </c>
      <c r="AG102" s="100"/>
      <c r="AH102" s="63"/>
      <c r="AI102" s="101"/>
      <c r="AJ102" s="64" t="str">
        <f t="shared" si="23"/>
        <v/>
      </c>
      <c r="AK102" s="62" t="str">
        <f t="shared" si="24"/>
        <v/>
      </c>
      <c r="AL102" s="62"/>
      <c r="AM102" s="62"/>
      <c r="AN102" s="108"/>
      <c r="AO102" s="102"/>
      <c r="AP102" s="102"/>
      <c r="AQ102" s="97">
        <f t="shared" si="26"/>
        <v>0</v>
      </c>
      <c r="AR102" s="63">
        <f t="shared" si="29"/>
        <v>0</v>
      </c>
      <c r="AS102" s="64" t="str">
        <f t="shared" si="25"/>
        <v/>
      </c>
    </row>
    <row r="103" spans="1:50" ht="14.25" customHeight="1">
      <c r="A103" s="62">
        <v>97</v>
      </c>
      <c r="B103" s="62" t="s">
        <v>191</v>
      </c>
      <c r="C103" s="62" t="s">
        <v>192</v>
      </c>
      <c r="D103" s="97"/>
      <c r="E103" s="62"/>
      <c r="F103" s="62"/>
      <c r="G103" s="62"/>
      <c r="H103" s="62"/>
      <c r="I103" s="64"/>
      <c r="J103" s="62"/>
      <c r="K103" s="62"/>
      <c r="L103" s="62"/>
      <c r="M103" s="114"/>
      <c r="N103" s="114"/>
      <c r="O103" s="62"/>
      <c r="P103" s="62"/>
      <c r="Q103" s="198"/>
      <c r="R103" s="62"/>
      <c r="S103" s="62"/>
      <c r="T103" s="62"/>
      <c r="U103" s="62"/>
      <c r="V103" s="97"/>
      <c r="W103" s="62"/>
      <c r="X103" s="62"/>
      <c r="Y103" s="62">
        <f t="shared" si="20"/>
        <v>0</v>
      </c>
      <c r="Z103" s="114"/>
      <c r="AA103" s="62"/>
      <c r="AB103" s="62"/>
      <c r="AC103" s="62">
        <f t="shared" ref="AC103:AC110" si="30">(V103-D103)+1</f>
        <v>1</v>
      </c>
      <c r="AD103" s="98">
        <f t="shared" si="28"/>
        <v>0</v>
      </c>
      <c r="AE103" s="99">
        <f t="shared" ref="AE103:AE110" si="31">IFERROR(AD103*AC103,0)</f>
        <v>0</v>
      </c>
      <c r="AF103" s="98">
        <f t="shared" si="27"/>
        <v>0</v>
      </c>
      <c r="AG103" s="100"/>
      <c r="AH103" s="63"/>
      <c r="AI103" s="101"/>
      <c r="AJ103" s="64" t="str">
        <f t="shared" ref="AJ103:AJ110" si="32">IF(AI103="","",AI103)</f>
        <v/>
      </c>
      <c r="AK103" s="62" t="str">
        <f t="shared" ref="AK103:AK110" si="33">IF(E103="","",E103)</f>
        <v/>
      </c>
      <c r="AL103" s="62"/>
      <c r="AM103" s="62"/>
      <c r="AN103" s="108"/>
      <c r="AO103" s="102"/>
      <c r="AP103" s="102"/>
      <c r="AQ103" s="97">
        <f t="shared" si="26"/>
        <v>0</v>
      </c>
      <c r="AR103" s="63">
        <f t="shared" si="29"/>
        <v>0</v>
      </c>
      <c r="AS103" s="64" t="str">
        <f t="shared" ref="AS103:AS110" si="34">AJ103</f>
        <v/>
      </c>
    </row>
    <row r="104" spans="1:50" ht="14.25" customHeight="1">
      <c r="A104" s="62">
        <v>98</v>
      </c>
      <c r="B104" s="62" t="s">
        <v>191</v>
      </c>
      <c r="C104" s="62" t="s">
        <v>192</v>
      </c>
      <c r="D104" s="97"/>
      <c r="E104" s="62"/>
      <c r="F104" s="62"/>
      <c r="G104" s="62"/>
      <c r="H104" s="62"/>
      <c r="I104" s="64"/>
      <c r="J104" s="62"/>
      <c r="K104" s="62"/>
      <c r="L104" s="62"/>
      <c r="M104" s="114"/>
      <c r="N104" s="114"/>
      <c r="O104" s="62"/>
      <c r="P104" s="62"/>
      <c r="Q104" s="198"/>
      <c r="R104" s="62"/>
      <c r="S104" s="62"/>
      <c r="T104" s="62"/>
      <c r="U104" s="62"/>
      <c r="V104" s="97"/>
      <c r="W104" s="62"/>
      <c r="X104" s="62"/>
      <c r="Y104" s="62">
        <f t="shared" si="20"/>
        <v>0</v>
      </c>
      <c r="Z104" s="114"/>
      <c r="AA104" s="62"/>
      <c r="AB104" s="62"/>
      <c r="AC104" s="62">
        <f t="shared" si="30"/>
        <v>1</v>
      </c>
      <c r="AD104" s="98">
        <f t="shared" si="28"/>
        <v>0</v>
      </c>
      <c r="AE104" s="99">
        <f t="shared" si="31"/>
        <v>0</v>
      </c>
      <c r="AF104" s="98">
        <f t="shared" si="27"/>
        <v>0</v>
      </c>
      <c r="AG104" s="100"/>
      <c r="AH104" s="63"/>
      <c r="AI104" s="101"/>
      <c r="AJ104" s="64" t="str">
        <f t="shared" si="32"/>
        <v/>
      </c>
      <c r="AK104" s="62" t="str">
        <f t="shared" si="33"/>
        <v/>
      </c>
      <c r="AL104" s="62"/>
      <c r="AM104" s="62"/>
      <c r="AN104" s="108"/>
      <c r="AO104" s="102"/>
      <c r="AP104" s="102"/>
      <c r="AQ104" s="97">
        <f t="shared" si="26"/>
        <v>0</v>
      </c>
      <c r="AR104" s="63">
        <f t="shared" si="29"/>
        <v>0</v>
      </c>
      <c r="AS104" s="64" t="str">
        <f t="shared" si="34"/>
        <v/>
      </c>
    </row>
    <row r="105" spans="1:50" ht="14.25" customHeight="1">
      <c r="A105" s="62">
        <v>99</v>
      </c>
      <c r="B105" s="62" t="s">
        <v>191</v>
      </c>
      <c r="C105" s="62" t="s">
        <v>192</v>
      </c>
      <c r="D105" s="97"/>
      <c r="E105" s="62"/>
      <c r="F105" s="62"/>
      <c r="G105" s="62"/>
      <c r="H105" s="62"/>
      <c r="I105" s="64"/>
      <c r="J105" s="62"/>
      <c r="K105" s="62"/>
      <c r="L105" s="62"/>
      <c r="M105" s="114"/>
      <c r="N105" s="114"/>
      <c r="O105" s="62"/>
      <c r="P105" s="62"/>
      <c r="Q105" s="198"/>
      <c r="R105" s="62"/>
      <c r="S105" s="62"/>
      <c r="T105" s="62"/>
      <c r="U105" s="62"/>
      <c r="V105" s="97"/>
      <c r="W105" s="62"/>
      <c r="X105" s="62"/>
      <c r="Y105" s="62">
        <f t="shared" si="20"/>
        <v>0</v>
      </c>
      <c r="Z105" s="114"/>
      <c r="AA105" s="62"/>
      <c r="AB105" s="62"/>
      <c r="AC105" s="62">
        <f t="shared" si="30"/>
        <v>1</v>
      </c>
      <c r="AD105" s="98">
        <f t="shared" si="28"/>
        <v>0</v>
      </c>
      <c r="AE105" s="99">
        <f t="shared" si="31"/>
        <v>0</v>
      </c>
      <c r="AF105" s="98">
        <f t="shared" si="27"/>
        <v>0</v>
      </c>
      <c r="AG105" s="100"/>
      <c r="AH105" s="63"/>
      <c r="AI105" s="101"/>
      <c r="AJ105" s="64" t="str">
        <f t="shared" si="32"/>
        <v/>
      </c>
      <c r="AK105" s="62" t="str">
        <f t="shared" si="33"/>
        <v/>
      </c>
      <c r="AL105" s="62"/>
      <c r="AM105" s="62"/>
      <c r="AN105" s="108"/>
      <c r="AO105" s="102"/>
      <c r="AP105" s="102"/>
      <c r="AQ105" s="97">
        <f t="shared" si="26"/>
        <v>0</v>
      </c>
      <c r="AR105" s="63">
        <f t="shared" si="29"/>
        <v>0</v>
      </c>
      <c r="AS105" s="64" t="str">
        <f t="shared" si="34"/>
        <v/>
      </c>
    </row>
    <row r="106" spans="1:50" ht="14.25" customHeight="1">
      <c r="A106" s="62">
        <v>100</v>
      </c>
      <c r="B106" s="62" t="s">
        <v>191</v>
      </c>
      <c r="C106" s="62" t="s">
        <v>192</v>
      </c>
      <c r="D106" s="97"/>
      <c r="E106" s="62"/>
      <c r="F106" s="62"/>
      <c r="G106" s="62"/>
      <c r="H106" s="62"/>
      <c r="I106" s="64"/>
      <c r="J106" s="62"/>
      <c r="K106" s="62"/>
      <c r="L106" s="62"/>
      <c r="M106" s="114"/>
      <c r="N106" s="114"/>
      <c r="O106" s="62"/>
      <c r="P106" s="62"/>
      <c r="Q106" s="198"/>
      <c r="R106" s="62"/>
      <c r="S106" s="62"/>
      <c r="T106" s="62"/>
      <c r="U106" s="62"/>
      <c r="V106" s="97"/>
      <c r="W106" s="62"/>
      <c r="X106" s="62"/>
      <c r="Y106" s="62">
        <f t="shared" si="20"/>
        <v>0</v>
      </c>
      <c r="Z106" s="114"/>
      <c r="AA106" s="62"/>
      <c r="AB106" s="62"/>
      <c r="AC106" s="62">
        <f t="shared" si="30"/>
        <v>1</v>
      </c>
      <c r="AD106" s="98">
        <f t="shared" si="28"/>
        <v>0</v>
      </c>
      <c r="AE106" s="99">
        <f t="shared" si="31"/>
        <v>0</v>
      </c>
      <c r="AF106" s="98">
        <f t="shared" si="27"/>
        <v>0</v>
      </c>
      <c r="AG106" s="100"/>
      <c r="AH106" s="63"/>
      <c r="AI106" s="101"/>
      <c r="AJ106" s="64" t="str">
        <f t="shared" si="32"/>
        <v/>
      </c>
      <c r="AK106" s="62" t="str">
        <f t="shared" si="33"/>
        <v/>
      </c>
      <c r="AL106" s="62"/>
      <c r="AM106" s="62"/>
      <c r="AN106" s="108"/>
      <c r="AO106" s="102"/>
      <c r="AP106" s="102"/>
      <c r="AQ106" s="97">
        <f t="shared" si="26"/>
        <v>0</v>
      </c>
      <c r="AR106" s="63">
        <f t="shared" si="29"/>
        <v>0</v>
      </c>
      <c r="AS106" s="64" t="str">
        <f t="shared" si="34"/>
        <v/>
      </c>
    </row>
    <row r="107" spans="1:50" ht="14.25" customHeight="1">
      <c r="A107" s="62">
        <v>101</v>
      </c>
      <c r="B107" s="62" t="s">
        <v>191</v>
      </c>
      <c r="C107" s="62" t="s">
        <v>192</v>
      </c>
      <c r="D107" s="97"/>
      <c r="E107" s="62"/>
      <c r="F107" s="62"/>
      <c r="G107" s="62"/>
      <c r="H107" s="62"/>
      <c r="I107" s="64"/>
      <c r="J107" s="62"/>
      <c r="K107" s="62"/>
      <c r="L107" s="62"/>
      <c r="M107" s="114"/>
      <c r="N107" s="114"/>
      <c r="O107" s="62"/>
      <c r="P107" s="62"/>
      <c r="Q107" s="198"/>
      <c r="R107" s="62"/>
      <c r="S107" s="62"/>
      <c r="T107" s="62"/>
      <c r="U107" s="62"/>
      <c r="V107" s="97"/>
      <c r="W107" s="62"/>
      <c r="X107" s="62"/>
      <c r="Y107" s="62">
        <f t="shared" si="20"/>
        <v>0</v>
      </c>
      <c r="Z107" s="114"/>
      <c r="AA107" s="62"/>
      <c r="AB107" s="62"/>
      <c r="AC107" s="62">
        <f t="shared" si="30"/>
        <v>1</v>
      </c>
      <c r="AD107" s="98">
        <f t="shared" si="28"/>
        <v>0</v>
      </c>
      <c r="AE107" s="99">
        <f t="shared" si="31"/>
        <v>0</v>
      </c>
      <c r="AF107" s="98">
        <f t="shared" si="27"/>
        <v>0</v>
      </c>
      <c r="AG107" s="100"/>
      <c r="AH107" s="63"/>
      <c r="AI107" s="101"/>
      <c r="AJ107" s="64" t="str">
        <f t="shared" si="32"/>
        <v/>
      </c>
      <c r="AK107" s="62" t="str">
        <f t="shared" si="33"/>
        <v/>
      </c>
      <c r="AL107" s="62"/>
      <c r="AM107" s="62"/>
      <c r="AN107" s="108"/>
      <c r="AO107" s="102"/>
      <c r="AP107" s="102"/>
      <c r="AQ107" s="97">
        <f t="shared" si="26"/>
        <v>0</v>
      </c>
      <c r="AR107" s="63">
        <f t="shared" si="29"/>
        <v>0</v>
      </c>
      <c r="AS107" s="64" t="str">
        <f t="shared" si="34"/>
        <v/>
      </c>
    </row>
    <row r="108" spans="1:50" ht="14.25" customHeight="1">
      <c r="A108" s="62">
        <v>102</v>
      </c>
      <c r="B108" s="62" t="s">
        <v>191</v>
      </c>
      <c r="C108" s="62" t="s">
        <v>192</v>
      </c>
      <c r="D108" s="97"/>
      <c r="E108" s="62"/>
      <c r="F108" s="62"/>
      <c r="G108" s="62"/>
      <c r="H108" s="62"/>
      <c r="I108" s="64"/>
      <c r="J108" s="62"/>
      <c r="K108" s="62"/>
      <c r="L108" s="62"/>
      <c r="M108" s="114"/>
      <c r="N108" s="114"/>
      <c r="O108" s="62"/>
      <c r="P108" s="62"/>
      <c r="Q108" s="198"/>
      <c r="R108" s="62"/>
      <c r="S108" s="62"/>
      <c r="T108" s="62"/>
      <c r="U108" s="62"/>
      <c r="V108" s="97"/>
      <c r="W108" s="62"/>
      <c r="X108" s="62"/>
      <c r="Y108" s="62">
        <f t="shared" si="20"/>
        <v>0</v>
      </c>
      <c r="Z108" s="114"/>
      <c r="AA108" s="62"/>
      <c r="AB108" s="62"/>
      <c r="AC108" s="62">
        <f t="shared" si="30"/>
        <v>1</v>
      </c>
      <c r="AD108" s="98">
        <f t="shared" si="28"/>
        <v>0</v>
      </c>
      <c r="AE108" s="99">
        <f t="shared" si="31"/>
        <v>0</v>
      </c>
      <c r="AF108" s="98">
        <f t="shared" si="27"/>
        <v>0</v>
      </c>
      <c r="AG108" s="100"/>
      <c r="AH108" s="63"/>
      <c r="AI108" s="101"/>
      <c r="AJ108" s="64" t="str">
        <f t="shared" si="32"/>
        <v/>
      </c>
      <c r="AK108" s="62" t="str">
        <f t="shared" si="33"/>
        <v/>
      </c>
      <c r="AL108" s="62"/>
      <c r="AM108" s="62"/>
      <c r="AN108" s="108"/>
      <c r="AO108" s="102"/>
      <c r="AP108" s="102"/>
      <c r="AQ108" s="97">
        <f t="shared" si="26"/>
        <v>0</v>
      </c>
      <c r="AR108" s="63">
        <f t="shared" si="29"/>
        <v>0</v>
      </c>
      <c r="AS108" s="64" t="str">
        <f t="shared" si="34"/>
        <v/>
      </c>
    </row>
    <row r="109" spans="1:50" ht="14.25" customHeight="1">
      <c r="A109" s="5">
        <v>103</v>
      </c>
      <c r="B109" s="5" t="s">
        <v>191</v>
      </c>
      <c r="C109" s="62" t="s">
        <v>192</v>
      </c>
      <c r="D109" s="2"/>
      <c r="E109" s="5"/>
      <c r="F109" s="5"/>
      <c r="G109" s="62"/>
      <c r="H109" s="62"/>
      <c r="I109" s="65"/>
      <c r="J109" s="62"/>
      <c r="K109" s="5"/>
      <c r="L109" s="5"/>
      <c r="M109" s="165"/>
      <c r="N109" s="165"/>
      <c r="O109" s="62"/>
      <c r="P109" s="5"/>
      <c r="Q109" s="198"/>
      <c r="R109" s="5"/>
      <c r="S109" s="5"/>
      <c r="T109" s="5"/>
      <c r="U109" s="62"/>
      <c r="V109" s="5"/>
      <c r="W109" s="5"/>
      <c r="X109" s="62"/>
      <c r="Y109" s="62">
        <f t="shared" si="20"/>
        <v>0</v>
      </c>
      <c r="Z109" s="165"/>
      <c r="AA109" s="5"/>
      <c r="AB109" s="62"/>
      <c r="AC109" s="62">
        <f t="shared" si="30"/>
        <v>1</v>
      </c>
      <c r="AD109" s="98">
        <f t="shared" si="28"/>
        <v>0</v>
      </c>
      <c r="AE109" s="99">
        <f t="shared" si="31"/>
        <v>0</v>
      </c>
      <c r="AF109" s="98">
        <f t="shared" si="27"/>
        <v>0</v>
      </c>
      <c r="AG109" s="100"/>
      <c r="AH109" s="63"/>
      <c r="AI109" s="101"/>
      <c r="AJ109" s="64" t="str">
        <f t="shared" si="32"/>
        <v/>
      </c>
      <c r="AK109" s="62" t="str">
        <f t="shared" si="33"/>
        <v/>
      </c>
      <c r="AL109" s="62"/>
      <c r="AM109" s="5"/>
      <c r="AN109" s="71"/>
      <c r="AO109" s="102"/>
      <c r="AP109" s="102"/>
      <c r="AQ109" s="97">
        <f t="shared" si="26"/>
        <v>0</v>
      </c>
      <c r="AR109" s="63">
        <f t="shared" si="29"/>
        <v>0</v>
      </c>
      <c r="AS109" s="64" t="str">
        <f t="shared" si="34"/>
        <v/>
      </c>
      <c r="AT109" s="103"/>
      <c r="AU109" s="103"/>
      <c r="AV109" s="103"/>
      <c r="AW109" s="103"/>
      <c r="AX109" s="103"/>
    </row>
    <row r="110" spans="1:50" ht="14.25" customHeight="1">
      <c r="A110" s="62">
        <v>104</v>
      </c>
      <c r="B110" s="5" t="s">
        <v>191</v>
      </c>
      <c r="C110" s="62" t="s">
        <v>192</v>
      </c>
      <c r="D110" s="2"/>
      <c r="E110" s="5"/>
      <c r="F110" s="5"/>
      <c r="G110" s="62"/>
      <c r="H110" s="62"/>
      <c r="I110" s="65"/>
      <c r="J110" s="62"/>
      <c r="K110" s="5"/>
      <c r="L110" s="5"/>
      <c r="M110" s="165"/>
      <c r="N110" s="165"/>
      <c r="O110" s="62"/>
      <c r="P110" s="5"/>
      <c r="Q110" s="198"/>
      <c r="R110" s="5"/>
      <c r="S110" s="5"/>
      <c r="T110" s="5"/>
      <c r="U110" s="62"/>
      <c r="V110" s="5"/>
      <c r="W110" s="5"/>
      <c r="X110" s="62"/>
      <c r="Y110" s="62">
        <f t="shared" si="20"/>
        <v>0</v>
      </c>
      <c r="Z110" s="165"/>
      <c r="AA110" s="5"/>
      <c r="AB110" s="62"/>
      <c r="AC110" s="62">
        <f t="shared" si="30"/>
        <v>1</v>
      </c>
      <c r="AD110" s="98">
        <f t="shared" si="28"/>
        <v>0</v>
      </c>
      <c r="AE110" s="99">
        <f t="shared" si="31"/>
        <v>0</v>
      </c>
      <c r="AF110" s="98">
        <f t="shared" si="27"/>
        <v>0</v>
      </c>
      <c r="AG110" s="100"/>
      <c r="AH110" s="63"/>
      <c r="AI110" s="101"/>
      <c r="AJ110" s="64" t="str">
        <f t="shared" si="32"/>
        <v/>
      </c>
      <c r="AK110" s="62" t="str">
        <f t="shared" si="33"/>
        <v/>
      </c>
      <c r="AL110" s="62"/>
      <c r="AM110" s="5"/>
      <c r="AN110" s="71"/>
      <c r="AO110" s="102"/>
      <c r="AP110" s="65"/>
      <c r="AQ110" s="62"/>
      <c r="AR110" s="63">
        <f t="shared" si="29"/>
        <v>0</v>
      </c>
      <c r="AS110" s="64" t="str">
        <f t="shared" si="34"/>
        <v/>
      </c>
      <c r="AT110" s="103"/>
      <c r="AU110" s="103"/>
      <c r="AV110" s="103"/>
      <c r="AW110" s="103"/>
      <c r="AX110" s="103"/>
    </row>
    <row r="111" spans="1:50" ht="14.25" customHeight="1">
      <c r="A111" s="62"/>
      <c r="B111" s="62"/>
      <c r="C111" s="62"/>
      <c r="D111" s="97"/>
      <c r="E111" s="62"/>
      <c r="F111" s="62"/>
      <c r="G111" s="62"/>
      <c r="H111" s="62"/>
      <c r="I111" s="64"/>
      <c r="J111" s="62"/>
      <c r="K111" s="62"/>
      <c r="L111" s="62"/>
      <c r="M111" s="114"/>
      <c r="N111" s="114"/>
      <c r="O111" s="62"/>
      <c r="P111" s="62"/>
      <c r="Q111" s="62"/>
      <c r="R111" s="62"/>
      <c r="S111" s="62"/>
      <c r="T111" s="62"/>
      <c r="U111" s="62"/>
      <c r="V111" s="97"/>
      <c r="W111" s="62"/>
      <c r="X111" s="62"/>
      <c r="Y111" s="62"/>
      <c r="Z111" s="114"/>
      <c r="AA111" s="62"/>
      <c r="AB111" s="62"/>
      <c r="AC111" s="62"/>
      <c r="AD111" s="98"/>
      <c r="AE111" s="99"/>
      <c r="AF111" s="98"/>
      <c r="AG111" s="100"/>
      <c r="AH111" s="63"/>
      <c r="AI111" s="101"/>
      <c r="AJ111" s="64"/>
      <c r="AK111" s="62"/>
      <c r="AL111" s="62"/>
      <c r="AM111" s="62"/>
      <c r="AN111" s="108"/>
      <c r="AO111" s="64"/>
      <c r="AP111" s="64"/>
      <c r="AQ111" s="97"/>
      <c r="AR111" s="63"/>
      <c r="AS111" s="64"/>
    </row>
    <row r="112" spans="1:50" ht="14.25" customHeight="1">
      <c r="A112" s="62"/>
      <c r="B112" s="62"/>
      <c r="C112" s="62"/>
      <c r="D112" s="97"/>
      <c r="E112" s="62"/>
      <c r="F112" s="62"/>
      <c r="G112" s="62"/>
      <c r="H112" s="62"/>
      <c r="I112" s="64"/>
      <c r="J112" s="62"/>
      <c r="K112" s="62"/>
      <c r="L112" s="62"/>
      <c r="M112" s="114"/>
      <c r="N112" s="114"/>
      <c r="O112" s="62"/>
      <c r="P112" s="62"/>
      <c r="Q112" s="62"/>
      <c r="R112" s="62"/>
      <c r="S112" s="62"/>
      <c r="T112" s="62"/>
      <c r="U112" s="62"/>
      <c r="V112" s="97"/>
      <c r="W112" s="62"/>
      <c r="X112" s="62"/>
      <c r="Y112" s="62"/>
      <c r="Z112" s="114"/>
      <c r="AA112" s="62"/>
      <c r="AB112" s="62"/>
      <c r="AC112" s="62"/>
      <c r="AD112" s="98"/>
      <c r="AE112" s="99"/>
      <c r="AF112" s="98"/>
      <c r="AG112" s="100"/>
      <c r="AH112" s="63"/>
      <c r="AI112" s="101"/>
      <c r="AJ112" s="64"/>
      <c r="AK112" s="62"/>
      <c r="AL112" s="62"/>
      <c r="AM112" s="62"/>
      <c r="AN112" s="108"/>
      <c r="AO112" s="64"/>
      <c r="AP112" s="64"/>
      <c r="AQ112" s="97"/>
      <c r="AR112" s="63"/>
      <c r="AS112" s="64"/>
    </row>
    <row r="113" spans="1:45" ht="14.25" customHeight="1">
      <c r="A113" s="62"/>
      <c r="B113" s="62"/>
      <c r="C113" s="62"/>
      <c r="D113" s="97"/>
      <c r="E113" s="62"/>
      <c r="F113" s="62"/>
      <c r="G113" s="62"/>
      <c r="H113" s="62"/>
      <c r="I113" s="64"/>
      <c r="J113" s="62"/>
      <c r="K113" s="62"/>
      <c r="L113" s="62"/>
      <c r="M113" s="114"/>
      <c r="N113" s="114"/>
      <c r="O113" s="62"/>
      <c r="P113" s="62"/>
      <c r="Q113" s="62"/>
      <c r="R113" s="62"/>
      <c r="S113" s="62"/>
      <c r="T113" s="62"/>
      <c r="U113" s="62"/>
      <c r="V113" s="97"/>
      <c r="W113" s="62"/>
      <c r="X113" s="62"/>
      <c r="Y113" s="62"/>
      <c r="Z113" s="114"/>
      <c r="AA113" s="62"/>
      <c r="AB113" s="62"/>
      <c r="AC113" s="62"/>
      <c r="AD113" s="98"/>
      <c r="AE113" s="99"/>
      <c r="AF113" s="98"/>
      <c r="AG113" s="100"/>
      <c r="AH113" s="63"/>
      <c r="AI113" s="101"/>
      <c r="AJ113" s="64"/>
      <c r="AK113" s="62"/>
      <c r="AL113" s="62"/>
      <c r="AM113" s="62"/>
      <c r="AN113" s="108"/>
      <c r="AO113" s="64"/>
      <c r="AP113" s="64"/>
      <c r="AQ113" s="97"/>
      <c r="AR113" s="63"/>
      <c r="AS113" s="64"/>
    </row>
    <row r="114" spans="1:45" ht="14.25" customHeight="1">
      <c r="A114" s="62"/>
      <c r="B114" s="62"/>
      <c r="C114" s="62"/>
      <c r="D114" s="97"/>
      <c r="E114" s="62"/>
      <c r="F114" s="62"/>
      <c r="G114" s="62"/>
      <c r="H114" s="62"/>
      <c r="I114" s="64"/>
      <c r="J114" s="62"/>
      <c r="K114" s="62"/>
      <c r="L114" s="62"/>
      <c r="M114" s="114"/>
      <c r="N114" s="114"/>
      <c r="O114" s="62"/>
      <c r="P114" s="62"/>
      <c r="Q114" s="62"/>
      <c r="R114" s="62"/>
      <c r="S114" s="62"/>
      <c r="T114" s="62"/>
      <c r="U114" s="62"/>
      <c r="V114" s="97"/>
      <c r="W114" s="62"/>
      <c r="X114" s="62"/>
      <c r="Y114" s="62"/>
      <c r="Z114" s="114"/>
      <c r="AA114" s="62"/>
      <c r="AB114" s="62"/>
      <c r="AC114" s="62"/>
      <c r="AD114" s="98"/>
      <c r="AE114" s="99"/>
      <c r="AF114" s="98"/>
      <c r="AG114" s="100"/>
      <c r="AH114" s="63"/>
      <c r="AI114" s="101"/>
      <c r="AJ114" s="64"/>
      <c r="AK114" s="62"/>
      <c r="AL114" s="62"/>
      <c r="AM114" s="62"/>
      <c r="AN114" s="108"/>
      <c r="AO114" s="64"/>
      <c r="AP114" s="64"/>
      <c r="AQ114" s="97"/>
      <c r="AR114" s="63"/>
      <c r="AS114" s="64"/>
    </row>
    <row r="115" spans="1:45" ht="14.25" customHeight="1">
      <c r="A115" s="62"/>
      <c r="B115" s="62"/>
      <c r="C115" s="62"/>
      <c r="D115" s="97"/>
      <c r="E115" s="62"/>
      <c r="F115" s="62"/>
      <c r="G115" s="62"/>
      <c r="H115" s="62"/>
      <c r="I115" s="64"/>
      <c r="J115" s="62"/>
      <c r="K115" s="62"/>
      <c r="L115" s="62"/>
      <c r="M115" s="114"/>
      <c r="N115" s="114"/>
      <c r="O115" s="62"/>
      <c r="P115" s="62"/>
      <c r="Q115" s="62"/>
      <c r="R115" s="62"/>
      <c r="S115" s="62"/>
      <c r="T115" s="62"/>
      <c r="U115" s="62"/>
      <c r="V115" s="97"/>
      <c r="W115" s="62"/>
      <c r="X115" s="62"/>
      <c r="Y115" s="62"/>
      <c r="Z115" s="114"/>
      <c r="AA115" s="62"/>
      <c r="AB115" s="62"/>
      <c r="AC115" s="62"/>
      <c r="AD115" s="98"/>
      <c r="AE115" s="99"/>
      <c r="AF115" s="98"/>
      <c r="AG115" s="100"/>
      <c r="AH115" s="63"/>
      <c r="AI115" s="101"/>
      <c r="AJ115" s="64"/>
      <c r="AK115" s="62"/>
      <c r="AL115" s="62"/>
      <c r="AM115" s="62"/>
      <c r="AN115" s="108"/>
      <c r="AO115" s="64"/>
      <c r="AP115" s="64"/>
      <c r="AQ115" s="97"/>
      <c r="AR115" s="63"/>
      <c r="AS115" s="64"/>
    </row>
    <row r="116" spans="1:45" ht="14.25" customHeight="1">
      <c r="A116" s="62"/>
      <c r="B116" s="62"/>
      <c r="C116" s="62"/>
      <c r="D116" s="97"/>
      <c r="E116" s="62"/>
      <c r="F116" s="62"/>
      <c r="G116" s="62"/>
      <c r="H116" s="62"/>
      <c r="I116" s="64"/>
      <c r="J116" s="62"/>
      <c r="K116" s="62"/>
      <c r="L116" s="62"/>
      <c r="M116" s="114"/>
      <c r="N116" s="114"/>
      <c r="O116" s="62"/>
      <c r="P116" s="62"/>
      <c r="Q116" s="62"/>
      <c r="R116" s="62"/>
      <c r="S116" s="62"/>
      <c r="T116" s="62"/>
      <c r="U116" s="62"/>
      <c r="V116" s="97"/>
      <c r="W116" s="62"/>
      <c r="X116" s="62"/>
      <c r="Y116" s="62"/>
      <c r="Z116" s="114"/>
      <c r="AA116" s="62"/>
      <c r="AB116" s="62"/>
      <c r="AC116" s="62"/>
      <c r="AD116" s="98"/>
      <c r="AE116" s="99"/>
      <c r="AF116" s="98"/>
      <c r="AG116" s="100"/>
      <c r="AH116" s="63"/>
      <c r="AI116" s="101"/>
      <c r="AJ116" s="64"/>
      <c r="AK116" s="62"/>
      <c r="AL116" s="62"/>
      <c r="AM116" s="62"/>
      <c r="AN116" s="108"/>
      <c r="AO116" s="64"/>
      <c r="AP116" s="64"/>
      <c r="AQ116" s="97"/>
      <c r="AR116" s="63"/>
      <c r="AS116" s="64"/>
    </row>
    <row r="117" spans="1:45" ht="14.25" customHeight="1">
      <c r="A117" s="62"/>
      <c r="B117" s="62"/>
      <c r="C117" s="62"/>
      <c r="D117" s="97"/>
      <c r="E117" s="62"/>
      <c r="F117" s="62"/>
      <c r="G117" s="62"/>
      <c r="H117" s="62"/>
      <c r="I117" s="64"/>
      <c r="J117" s="62"/>
      <c r="K117" s="62"/>
      <c r="L117" s="62"/>
      <c r="M117" s="114"/>
      <c r="N117" s="114"/>
      <c r="O117" s="62"/>
      <c r="P117" s="62"/>
      <c r="Q117" s="62"/>
      <c r="R117" s="62"/>
      <c r="S117" s="62"/>
      <c r="T117" s="62"/>
      <c r="U117" s="62"/>
      <c r="V117" s="97"/>
      <c r="W117" s="62"/>
      <c r="X117" s="62"/>
      <c r="Y117" s="62"/>
      <c r="Z117" s="114"/>
      <c r="AA117" s="62"/>
      <c r="AB117" s="62"/>
      <c r="AC117" s="62"/>
      <c r="AD117" s="98"/>
      <c r="AE117" s="99"/>
      <c r="AF117" s="98"/>
      <c r="AG117" s="100"/>
      <c r="AH117" s="63"/>
      <c r="AI117" s="101"/>
      <c r="AJ117" s="64"/>
      <c r="AK117" s="62"/>
      <c r="AL117" s="62"/>
      <c r="AM117" s="62"/>
      <c r="AN117" s="108"/>
      <c r="AO117" s="64"/>
      <c r="AP117" s="64"/>
      <c r="AQ117" s="62"/>
      <c r="AR117" s="63"/>
      <c r="AS117" s="64"/>
    </row>
    <row r="118" spans="1:45" ht="14.25" customHeight="1">
      <c r="A118" s="62"/>
      <c r="B118" s="62"/>
      <c r="C118" s="62"/>
      <c r="D118" s="97"/>
      <c r="E118" s="62"/>
      <c r="F118" s="62"/>
      <c r="G118" s="62"/>
      <c r="H118" s="62"/>
      <c r="I118" s="64"/>
      <c r="J118" s="62"/>
      <c r="K118" s="62"/>
      <c r="L118" s="62"/>
      <c r="M118" s="114"/>
      <c r="N118" s="114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114"/>
      <c r="AA118" s="62"/>
      <c r="AB118" s="62"/>
      <c r="AC118" s="62"/>
      <c r="AD118" s="98"/>
      <c r="AE118" s="99"/>
      <c r="AF118" s="98"/>
      <c r="AG118" s="100"/>
      <c r="AH118" s="63"/>
      <c r="AI118" s="101"/>
      <c r="AJ118" s="64"/>
      <c r="AK118" s="62"/>
      <c r="AL118" s="62"/>
      <c r="AM118" s="62"/>
      <c r="AN118" s="108"/>
      <c r="AO118" s="64"/>
      <c r="AP118" s="64"/>
      <c r="AQ118" s="62"/>
      <c r="AR118" s="63"/>
      <c r="AS118" s="64"/>
    </row>
    <row r="119" spans="1:45" ht="14.25" customHeight="1">
      <c r="A119" s="62"/>
      <c r="B119" s="62"/>
      <c r="C119" s="62"/>
      <c r="D119" s="97"/>
      <c r="E119" s="62"/>
      <c r="F119" s="62"/>
      <c r="G119" s="62"/>
      <c r="H119" s="62"/>
      <c r="I119" s="64"/>
      <c r="J119" s="62"/>
      <c r="K119" s="62"/>
      <c r="L119" s="62"/>
      <c r="M119" s="114"/>
      <c r="N119" s="114"/>
      <c r="O119" s="62"/>
      <c r="P119" s="62"/>
      <c r="Q119" s="62"/>
      <c r="R119" s="62"/>
      <c r="S119" s="62"/>
      <c r="T119" s="62"/>
      <c r="U119" s="62"/>
      <c r="V119" s="97"/>
      <c r="W119" s="62"/>
      <c r="X119" s="62"/>
      <c r="Y119" s="62"/>
      <c r="Z119" s="114"/>
      <c r="AA119" s="62"/>
      <c r="AB119" s="62"/>
      <c r="AC119" s="62"/>
      <c r="AD119" s="98"/>
      <c r="AE119" s="99"/>
      <c r="AF119" s="98"/>
      <c r="AG119" s="100"/>
      <c r="AH119" s="63"/>
      <c r="AI119" s="101"/>
      <c r="AJ119" s="64"/>
      <c r="AK119" s="62"/>
      <c r="AL119" s="62"/>
      <c r="AM119" s="62"/>
      <c r="AN119" s="108"/>
      <c r="AO119" s="64"/>
      <c r="AP119" s="64"/>
      <c r="AQ119" s="97"/>
      <c r="AR119" s="63"/>
      <c r="AS119" s="64"/>
    </row>
    <row r="120" spans="1:45" ht="14.25" customHeight="1">
      <c r="A120" s="62"/>
      <c r="B120" s="62"/>
      <c r="C120" s="62"/>
      <c r="D120" s="97"/>
      <c r="E120" s="62"/>
      <c r="F120" s="62"/>
      <c r="G120" s="62"/>
      <c r="H120" s="62"/>
      <c r="I120" s="64"/>
      <c r="J120" s="62"/>
      <c r="K120" s="62"/>
      <c r="L120" s="62"/>
      <c r="M120" s="114"/>
      <c r="N120" s="114"/>
      <c r="O120" s="62"/>
      <c r="P120" s="62"/>
      <c r="Q120" s="62"/>
      <c r="R120" s="62"/>
      <c r="S120" s="62"/>
      <c r="T120" s="62"/>
      <c r="U120" s="62"/>
      <c r="V120" s="97"/>
      <c r="W120" s="62"/>
      <c r="X120" s="62"/>
      <c r="Y120" s="62"/>
      <c r="Z120" s="114"/>
      <c r="AA120" s="62"/>
      <c r="AB120" s="62"/>
      <c r="AC120" s="62"/>
      <c r="AD120" s="98"/>
      <c r="AE120" s="99"/>
      <c r="AF120" s="98"/>
      <c r="AG120" s="100"/>
      <c r="AH120" s="63"/>
      <c r="AI120" s="101"/>
      <c r="AJ120" s="64"/>
      <c r="AK120" s="62"/>
      <c r="AL120" s="62"/>
      <c r="AM120" s="62"/>
      <c r="AN120" s="62"/>
      <c r="AO120" s="64"/>
      <c r="AP120" s="64"/>
      <c r="AQ120" s="97"/>
      <c r="AR120" s="63"/>
      <c r="AS120" s="64"/>
    </row>
    <row r="121" spans="1:45" ht="14.25" customHeight="1">
      <c r="A121" s="62"/>
      <c r="B121" s="62"/>
      <c r="C121" s="62"/>
      <c r="D121" s="97"/>
      <c r="E121" s="62"/>
      <c r="F121" s="62"/>
      <c r="G121" s="62"/>
      <c r="H121" s="62"/>
      <c r="I121" s="64"/>
      <c r="J121" s="62"/>
      <c r="K121" s="62"/>
      <c r="L121" s="62"/>
      <c r="M121" s="114"/>
      <c r="N121" s="114"/>
      <c r="O121" s="62"/>
      <c r="P121" s="62"/>
      <c r="Q121" s="62"/>
      <c r="R121" s="62"/>
      <c r="S121" s="62"/>
      <c r="T121" s="62"/>
      <c r="U121" s="62"/>
      <c r="V121" s="97"/>
      <c r="W121" s="62"/>
      <c r="X121" s="62"/>
      <c r="Y121" s="62"/>
      <c r="Z121" s="114"/>
      <c r="AA121" s="62"/>
      <c r="AB121" s="62"/>
      <c r="AC121" s="62"/>
      <c r="AD121" s="98"/>
      <c r="AE121" s="99"/>
      <c r="AF121" s="98"/>
      <c r="AG121" s="100"/>
      <c r="AH121" s="63"/>
      <c r="AI121" s="101"/>
      <c r="AJ121" s="64"/>
      <c r="AK121" s="62"/>
      <c r="AL121" s="62"/>
      <c r="AM121" s="62"/>
      <c r="AN121" s="62"/>
      <c r="AO121" s="64"/>
      <c r="AP121" s="64"/>
      <c r="AQ121" s="97"/>
      <c r="AR121" s="63"/>
      <c r="AS121" s="64"/>
    </row>
    <row r="122" spans="1:45" ht="14.25" customHeight="1">
      <c r="A122" s="62"/>
      <c r="B122" s="62"/>
      <c r="C122" s="62"/>
      <c r="D122" s="97"/>
      <c r="E122" s="62"/>
      <c r="F122" s="62"/>
      <c r="G122" s="62"/>
      <c r="H122" s="62"/>
      <c r="I122" s="64"/>
      <c r="J122" s="62"/>
      <c r="K122" s="62"/>
      <c r="L122" s="62"/>
      <c r="M122" s="114"/>
      <c r="N122" s="114"/>
      <c r="O122" s="62"/>
      <c r="P122" s="62"/>
      <c r="Q122" s="62"/>
      <c r="R122" s="62"/>
      <c r="S122" s="62"/>
      <c r="T122" s="62"/>
      <c r="U122" s="62"/>
      <c r="V122" s="97"/>
      <c r="W122" s="62"/>
      <c r="X122" s="62"/>
      <c r="Y122" s="62"/>
      <c r="Z122" s="114"/>
      <c r="AA122" s="62"/>
      <c r="AB122" s="62"/>
      <c r="AC122" s="62"/>
      <c r="AD122" s="98"/>
      <c r="AE122" s="99"/>
      <c r="AF122" s="98"/>
      <c r="AG122" s="100"/>
      <c r="AH122" s="63"/>
      <c r="AI122" s="101"/>
      <c r="AJ122" s="64"/>
      <c r="AK122" s="62"/>
      <c r="AL122" s="62"/>
      <c r="AM122" s="62"/>
      <c r="AN122" s="108"/>
      <c r="AO122" s="64"/>
      <c r="AP122" s="64"/>
      <c r="AQ122" s="97"/>
      <c r="AR122" s="63"/>
      <c r="AS122" s="64"/>
    </row>
    <row r="123" spans="1:45" ht="14.25" customHeight="1">
      <c r="A123" s="62"/>
      <c r="B123" s="62"/>
      <c r="C123" s="62"/>
      <c r="D123" s="97"/>
      <c r="E123" s="62"/>
      <c r="F123" s="62"/>
      <c r="G123" s="62"/>
      <c r="H123" s="62"/>
      <c r="I123" s="64"/>
      <c r="J123" s="62"/>
      <c r="K123" s="62"/>
      <c r="L123" s="62"/>
      <c r="M123" s="114"/>
      <c r="N123" s="114"/>
      <c r="O123" s="62"/>
      <c r="P123" s="62"/>
      <c r="Q123" s="62"/>
      <c r="R123" s="62"/>
      <c r="S123" s="62"/>
      <c r="T123" s="62"/>
      <c r="U123" s="62"/>
      <c r="V123" s="97"/>
      <c r="W123" s="62"/>
      <c r="X123" s="62"/>
      <c r="Y123" s="62"/>
      <c r="Z123" s="114"/>
      <c r="AA123" s="62"/>
      <c r="AB123" s="62"/>
      <c r="AC123" s="62"/>
      <c r="AD123" s="98"/>
      <c r="AE123" s="99"/>
      <c r="AF123" s="98"/>
      <c r="AG123" s="100"/>
      <c r="AH123" s="63"/>
      <c r="AI123" s="101"/>
      <c r="AJ123" s="64"/>
      <c r="AK123" s="62"/>
      <c r="AL123" s="62"/>
      <c r="AM123" s="62"/>
      <c r="AN123" s="108"/>
      <c r="AO123" s="64"/>
      <c r="AP123" s="64"/>
      <c r="AQ123" s="97"/>
      <c r="AR123" s="63"/>
      <c r="AS123" s="64"/>
    </row>
    <row r="124" spans="1:45" ht="14.25" customHeight="1">
      <c r="A124" s="62"/>
      <c r="B124" s="62"/>
      <c r="C124" s="62"/>
      <c r="D124" s="97"/>
      <c r="E124" s="62"/>
      <c r="F124" s="62"/>
      <c r="G124" s="62"/>
      <c r="H124" s="62"/>
      <c r="I124" s="64"/>
      <c r="J124" s="62"/>
      <c r="K124" s="62"/>
      <c r="L124" s="62"/>
      <c r="M124" s="114"/>
      <c r="N124" s="114"/>
      <c r="O124" s="62"/>
      <c r="P124" s="62"/>
      <c r="Q124" s="62"/>
      <c r="R124" s="62"/>
      <c r="S124" s="62"/>
      <c r="T124" s="62"/>
      <c r="U124" s="62"/>
      <c r="V124" s="97"/>
      <c r="W124" s="62"/>
      <c r="X124" s="62"/>
      <c r="Y124" s="62"/>
      <c r="Z124" s="114"/>
      <c r="AA124" s="62"/>
      <c r="AB124" s="62"/>
      <c r="AC124" s="62"/>
      <c r="AD124" s="98"/>
      <c r="AE124" s="99"/>
      <c r="AF124" s="98"/>
      <c r="AG124" s="100"/>
      <c r="AH124" s="63"/>
      <c r="AI124" s="101"/>
      <c r="AJ124" s="64"/>
      <c r="AK124" s="62"/>
      <c r="AL124" s="62"/>
      <c r="AM124" s="62"/>
      <c r="AN124" s="108"/>
      <c r="AO124" s="64"/>
      <c r="AP124" s="64"/>
      <c r="AQ124" s="97"/>
      <c r="AR124" s="63"/>
      <c r="AS124" s="64"/>
    </row>
    <row r="125" spans="1:45" ht="14.25" customHeight="1">
      <c r="A125" s="62"/>
      <c r="B125" s="62"/>
      <c r="C125" s="62"/>
      <c r="D125" s="97"/>
      <c r="E125" s="62"/>
      <c r="F125" s="62"/>
      <c r="G125" s="62"/>
      <c r="H125" s="62"/>
      <c r="I125" s="64"/>
      <c r="J125" s="62"/>
      <c r="K125" s="62"/>
      <c r="L125" s="62"/>
      <c r="M125" s="114"/>
      <c r="N125" s="114"/>
      <c r="O125" s="62"/>
      <c r="P125" s="62"/>
      <c r="Q125" s="62"/>
      <c r="R125" s="62"/>
      <c r="S125" s="62"/>
      <c r="T125" s="62"/>
      <c r="U125" s="62"/>
      <c r="V125" s="97"/>
      <c r="W125" s="62"/>
      <c r="X125" s="62"/>
      <c r="Y125" s="62"/>
      <c r="Z125" s="114"/>
      <c r="AA125" s="62"/>
      <c r="AB125" s="62"/>
      <c r="AC125" s="62"/>
      <c r="AD125" s="98"/>
      <c r="AE125" s="99"/>
      <c r="AF125" s="98"/>
      <c r="AG125" s="100"/>
      <c r="AH125" s="63"/>
      <c r="AI125" s="101"/>
      <c r="AJ125" s="64"/>
      <c r="AK125" s="62"/>
      <c r="AL125" s="62"/>
      <c r="AM125" s="62"/>
      <c r="AN125" s="108"/>
      <c r="AO125" s="64"/>
      <c r="AP125" s="64"/>
      <c r="AQ125" s="97"/>
      <c r="AR125" s="63"/>
      <c r="AS125" s="64"/>
    </row>
    <row r="126" spans="1:45" ht="14.25" customHeight="1">
      <c r="A126" s="62"/>
      <c r="B126" s="62"/>
      <c r="C126" s="62"/>
      <c r="D126" s="97"/>
      <c r="E126" s="62"/>
      <c r="F126" s="62"/>
      <c r="G126" s="62"/>
      <c r="H126" s="62"/>
      <c r="I126" s="64"/>
      <c r="J126" s="62"/>
      <c r="K126" s="62"/>
      <c r="L126" s="62"/>
      <c r="M126" s="114"/>
      <c r="N126" s="114"/>
      <c r="O126" s="62"/>
      <c r="P126" s="62"/>
      <c r="Q126" s="62"/>
      <c r="R126" s="62"/>
      <c r="S126" s="62"/>
      <c r="T126" s="62"/>
      <c r="U126" s="62"/>
      <c r="V126" s="97"/>
      <c r="W126" s="62"/>
      <c r="X126" s="62"/>
      <c r="Y126" s="62"/>
      <c r="Z126" s="114"/>
      <c r="AA126" s="62"/>
      <c r="AB126" s="62"/>
      <c r="AC126" s="62"/>
      <c r="AD126" s="98"/>
      <c r="AE126" s="99"/>
      <c r="AF126" s="98"/>
      <c r="AG126" s="100"/>
      <c r="AH126" s="63"/>
      <c r="AI126" s="101"/>
      <c r="AJ126" s="64"/>
      <c r="AK126" s="62"/>
      <c r="AL126" s="62"/>
      <c r="AM126" s="62"/>
      <c r="AN126" s="108"/>
      <c r="AO126" s="64"/>
      <c r="AP126" s="64"/>
      <c r="AQ126" s="97"/>
      <c r="AR126" s="63"/>
      <c r="AS126" s="64"/>
    </row>
    <row r="127" spans="1:45" ht="14.25" customHeight="1">
      <c r="A127" s="62"/>
      <c r="B127" s="62"/>
      <c r="C127" s="62"/>
      <c r="D127" s="97"/>
      <c r="E127" s="62"/>
      <c r="F127" s="62"/>
      <c r="G127" s="62"/>
      <c r="H127" s="62"/>
      <c r="I127" s="64"/>
      <c r="J127" s="62"/>
      <c r="K127" s="62"/>
      <c r="L127" s="62"/>
      <c r="M127" s="114"/>
      <c r="N127" s="114"/>
      <c r="O127" s="62"/>
      <c r="P127" s="62"/>
      <c r="Q127" s="62"/>
      <c r="R127" s="62"/>
      <c r="S127" s="62"/>
      <c r="T127" s="62"/>
      <c r="U127" s="62"/>
      <c r="V127" s="97"/>
      <c r="W127" s="62"/>
      <c r="X127" s="62"/>
      <c r="Y127" s="62"/>
      <c r="Z127" s="114"/>
      <c r="AA127" s="62"/>
      <c r="AB127" s="62"/>
      <c r="AC127" s="62"/>
      <c r="AD127" s="98"/>
      <c r="AE127" s="99"/>
      <c r="AF127" s="98"/>
      <c r="AG127" s="100"/>
      <c r="AH127" s="63"/>
      <c r="AI127" s="101"/>
      <c r="AJ127" s="64"/>
      <c r="AK127" s="62"/>
      <c r="AL127" s="62"/>
      <c r="AM127" s="62"/>
      <c r="AN127" s="62"/>
      <c r="AO127" s="64"/>
      <c r="AP127" s="64"/>
      <c r="AQ127" s="97"/>
      <c r="AR127" s="63"/>
      <c r="AS127" s="64"/>
    </row>
    <row r="128" spans="1:45" ht="14.25" customHeight="1">
      <c r="A128" s="62"/>
      <c r="B128" s="62"/>
      <c r="C128" s="62"/>
      <c r="D128" s="97"/>
      <c r="E128" s="62"/>
      <c r="F128" s="62"/>
      <c r="G128" s="62"/>
      <c r="H128" s="62"/>
      <c r="I128" s="64"/>
      <c r="J128" s="62"/>
      <c r="K128" s="62"/>
      <c r="L128" s="62"/>
      <c r="M128" s="114"/>
      <c r="N128" s="114"/>
      <c r="O128" s="62"/>
      <c r="P128" s="62"/>
      <c r="Q128" s="62"/>
      <c r="R128" s="62"/>
      <c r="S128" s="62"/>
      <c r="T128" s="62"/>
      <c r="U128" s="62"/>
      <c r="V128" s="97"/>
      <c r="W128" s="62"/>
      <c r="X128" s="62"/>
      <c r="Y128" s="62"/>
      <c r="Z128" s="114"/>
      <c r="AA128" s="62"/>
      <c r="AB128" s="62"/>
      <c r="AC128" s="62"/>
      <c r="AD128" s="98"/>
      <c r="AE128" s="99"/>
      <c r="AF128" s="98"/>
      <c r="AG128" s="100"/>
      <c r="AH128" s="63"/>
      <c r="AI128" s="101"/>
      <c r="AJ128" s="64"/>
      <c r="AK128" s="62"/>
      <c r="AL128" s="62"/>
      <c r="AM128" s="62"/>
      <c r="AN128" s="108"/>
      <c r="AO128" s="64"/>
      <c r="AP128" s="64"/>
      <c r="AQ128" s="97"/>
      <c r="AR128" s="63"/>
      <c r="AS128" s="64"/>
    </row>
    <row r="129" spans="1:45" ht="14.25" customHeight="1">
      <c r="A129" s="62"/>
      <c r="B129" s="62"/>
      <c r="C129" s="62"/>
      <c r="D129" s="97"/>
      <c r="E129" s="62"/>
      <c r="F129" s="62"/>
      <c r="G129" s="62"/>
      <c r="H129" s="62"/>
      <c r="I129" s="64"/>
      <c r="J129" s="62"/>
      <c r="K129" s="62"/>
      <c r="L129" s="62"/>
      <c r="M129" s="114"/>
      <c r="N129" s="114"/>
      <c r="O129" s="62"/>
      <c r="P129" s="62"/>
      <c r="Q129" s="62"/>
      <c r="R129" s="62"/>
      <c r="S129" s="62"/>
      <c r="T129" s="62"/>
      <c r="U129" s="62"/>
      <c r="V129" s="97"/>
      <c r="W129" s="62"/>
      <c r="X129" s="62"/>
      <c r="Y129" s="62"/>
      <c r="Z129" s="114"/>
      <c r="AA129" s="62"/>
      <c r="AB129" s="62"/>
      <c r="AC129" s="62"/>
      <c r="AD129" s="98"/>
      <c r="AE129" s="99"/>
      <c r="AF129" s="98"/>
      <c r="AG129" s="100"/>
      <c r="AH129" s="63"/>
      <c r="AI129" s="101"/>
      <c r="AJ129" s="64"/>
      <c r="AK129" s="62"/>
      <c r="AL129" s="62"/>
      <c r="AM129" s="62"/>
      <c r="AN129" s="108"/>
      <c r="AO129" s="64"/>
      <c r="AP129" s="64"/>
      <c r="AQ129" s="97"/>
      <c r="AR129" s="63"/>
      <c r="AS129" s="64"/>
    </row>
    <row r="130" spans="1:45" ht="14.25" customHeight="1">
      <c r="A130" s="62"/>
      <c r="B130" s="62"/>
      <c r="C130" s="62"/>
      <c r="D130" s="97"/>
      <c r="E130" s="62"/>
      <c r="F130" s="62"/>
      <c r="G130" s="62"/>
      <c r="H130" s="62"/>
      <c r="I130" s="64"/>
      <c r="J130" s="62"/>
      <c r="K130" s="62"/>
      <c r="L130" s="62"/>
      <c r="M130" s="114"/>
      <c r="N130" s="114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114"/>
      <c r="AA130" s="62"/>
      <c r="AB130" s="62"/>
      <c r="AC130" s="62"/>
      <c r="AD130" s="98"/>
      <c r="AE130" s="99"/>
      <c r="AF130" s="98"/>
      <c r="AG130" s="100"/>
      <c r="AH130" s="63"/>
      <c r="AI130" s="101"/>
      <c r="AJ130" s="64"/>
      <c r="AK130" s="62"/>
      <c r="AL130" s="62"/>
      <c r="AM130" s="62"/>
      <c r="AN130" s="108"/>
      <c r="AO130" s="64"/>
      <c r="AP130" s="64"/>
      <c r="AQ130" s="62"/>
      <c r="AR130" s="63"/>
      <c r="AS130" s="64"/>
    </row>
    <row r="131" spans="1:45" ht="14.25" customHeight="1">
      <c r="A131" s="62"/>
      <c r="B131" s="62"/>
      <c r="C131" s="62"/>
      <c r="D131" s="97"/>
      <c r="E131" s="62"/>
      <c r="F131" s="62"/>
      <c r="G131" s="62"/>
      <c r="H131" s="62"/>
      <c r="I131" s="64"/>
      <c r="J131" s="62"/>
      <c r="K131" s="62"/>
      <c r="L131" s="62"/>
      <c r="M131" s="114"/>
      <c r="N131" s="114"/>
      <c r="O131" s="62"/>
      <c r="P131" s="62"/>
      <c r="Q131" s="62"/>
      <c r="R131" s="62"/>
      <c r="S131" s="62"/>
      <c r="T131" s="62"/>
      <c r="U131" s="62"/>
      <c r="V131" s="97"/>
      <c r="W131" s="62"/>
      <c r="X131" s="62"/>
      <c r="Y131" s="62"/>
      <c r="Z131" s="114"/>
      <c r="AA131" s="62"/>
      <c r="AB131" s="62"/>
      <c r="AC131" s="62"/>
      <c r="AD131" s="98"/>
      <c r="AE131" s="99"/>
      <c r="AF131" s="98"/>
      <c r="AG131" s="100"/>
      <c r="AH131" s="63"/>
      <c r="AI131" s="101"/>
      <c r="AJ131" s="64"/>
      <c r="AK131" s="62"/>
      <c r="AL131" s="62"/>
      <c r="AM131" s="62"/>
      <c r="AN131" s="108"/>
      <c r="AO131" s="64"/>
      <c r="AP131" s="64"/>
      <c r="AQ131" s="97"/>
      <c r="AR131" s="63"/>
      <c r="AS131" s="64"/>
    </row>
    <row r="132" spans="1:45" ht="14.25" customHeight="1">
      <c r="A132" s="62"/>
      <c r="B132" s="62"/>
      <c r="C132" s="62"/>
      <c r="D132" s="97"/>
      <c r="E132" s="62"/>
      <c r="F132" s="62"/>
      <c r="G132" s="62"/>
      <c r="H132" s="62"/>
      <c r="I132" s="64"/>
      <c r="J132" s="62"/>
      <c r="K132" s="62"/>
      <c r="L132" s="62"/>
      <c r="M132" s="114"/>
      <c r="N132" s="114"/>
      <c r="O132" s="62"/>
      <c r="P132" s="62"/>
      <c r="Q132" s="62"/>
      <c r="R132" s="62"/>
      <c r="S132" s="62"/>
      <c r="T132" s="62"/>
      <c r="U132" s="62"/>
      <c r="V132" s="97"/>
      <c r="W132" s="62"/>
      <c r="X132" s="62"/>
      <c r="Y132" s="62"/>
      <c r="Z132" s="114"/>
      <c r="AA132" s="62"/>
      <c r="AB132" s="62"/>
      <c r="AC132" s="62"/>
      <c r="AD132" s="98"/>
      <c r="AE132" s="99"/>
      <c r="AF132" s="98"/>
      <c r="AG132" s="100"/>
      <c r="AH132" s="63"/>
      <c r="AI132" s="101"/>
      <c r="AJ132" s="64"/>
      <c r="AK132" s="62"/>
      <c r="AL132" s="62"/>
      <c r="AM132" s="108"/>
      <c r="AN132" s="108"/>
      <c r="AO132" s="64"/>
      <c r="AP132" s="64"/>
      <c r="AQ132" s="97"/>
      <c r="AR132" s="63"/>
      <c r="AS132" s="64"/>
    </row>
    <row r="133" spans="1:45" ht="14.25" customHeight="1">
      <c r="A133" s="62"/>
      <c r="B133" s="62"/>
      <c r="C133" s="62"/>
      <c r="D133" s="97"/>
      <c r="E133" s="62"/>
      <c r="F133" s="62"/>
      <c r="G133" s="62"/>
      <c r="H133" s="62"/>
      <c r="I133" s="64"/>
      <c r="J133" s="62"/>
      <c r="K133" s="62"/>
      <c r="L133" s="62"/>
      <c r="M133" s="114"/>
      <c r="N133" s="114"/>
      <c r="O133" s="62"/>
      <c r="P133" s="62"/>
      <c r="Q133" s="62"/>
      <c r="R133" s="62"/>
      <c r="S133" s="62"/>
      <c r="T133" s="62"/>
      <c r="U133" s="62"/>
      <c r="V133" s="97"/>
      <c r="W133" s="62"/>
      <c r="X133" s="62"/>
      <c r="Y133" s="62"/>
      <c r="Z133" s="114"/>
      <c r="AA133" s="62"/>
      <c r="AB133" s="62"/>
      <c r="AC133" s="62"/>
      <c r="AD133" s="98"/>
      <c r="AE133" s="99"/>
      <c r="AF133" s="98"/>
      <c r="AG133" s="100"/>
      <c r="AH133" s="63"/>
      <c r="AI133" s="101"/>
      <c r="AJ133" s="64"/>
      <c r="AK133" s="62"/>
      <c r="AL133" s="62"/>
      <c r="AM133" s="108"/>
      <c r="AN133" s="108"/>
      <c r="AO133" s="64"/>
      <c r="AP133" s="64"/>
      <c r="AQ133" s="97"/>
      <c r="AR133" s="63"/>
      <c r="AS133" s="64"/>
    </row>
    <row r="134" spans="1:45" ht="14.25" customHeight="1">
      <c r="A134" s="62"/>
      <c r="B134" s="62"/>
      <c r="C134" s="62"/>
      <c r="D134" s="97"/>
      <c r="E134" s="62"/>
      <c r="F134" s="62"/>
      <c r="G134" s="62"/>
      <c r="H134" s="62"/>
      <c r="I134" s="64"/>
      <c r="J134" s="62"/>
      <c r="K134" s="62"/>
      <c r="L134" s="62"/>
      <c r="M134" s="114"/>
      <c r="N134" s="114"/>
      <c r="O134" s="62"/>
      <c r="P134" s="62"/>
      <c r="Q134" s="62"/>
      <c r="R134" s="62"/>
      <c r="S134" s="62"/>
      <c r="T134" s="62"/>
      <c r="U134" s="62"/>
      <c r="V134" s="97"/>
      <c r="W134" s="62"/>
      <c r="X134" s="62"/>
      <c r="Y134" s="62"/>
      <c r="Z134" s="114"/>
      <c r="AA134" s="62"/>
      <c r="AB134" s="62"/>
      <c r="AC134" s="62"/>
      <c r="AD134" s="98"/>
      <c r="AE134" s="99"/>
      <c r="AF134" s="98"/>
      <c r="AG134" s="100"/>
      <c r="AH134" s="63"/>
      <c r="AI134" s="101"/>
      <c r="AJ134" s="64"/>
      <c r="AK134" s="62"/>
      <c r="AL134" s="62"/>
      <c r="AM134" s="108"/>
      <c r="AN134" s="108"/>
      <c r="AO134" s="64"/>
      <c r="AP134" s="64"/>
      <c r="AQ134" s="97"/>
      <c r="AR134" s="63"/>
      <c r="AS134" s="64"/>
    </row>
    <row r="135" spans="1:45" ht="14.25" customHeight="1">
      <c r="A135" s="62"/>
      <c r="B135" s="62"/>
      <c r="C135" s="62"/>
      <c r="D135" s="97"/>
      <c r="E135" s="62"/>
      <c r="F135" s="62"/>
      <c r="G135" s="62"/>
      <c r="H135" s="62"/>
      <c r="I135" s="64"/>
      <c r="J135" s="62"/>
      <c r="K135" s="62"/>
      <c r="L135" s="62"/>
      <c r="M135" s="114"/>
      <c r="N135" s="114"/>
      <c r="O135" s="62"/>
      <c r="P135" s="62"/>
      <c r="Q135" s="62"/>
      <c r="R135" s="62"/>
      <c r="S135" s="62"/>
      <c r="T135" s="62"/>
      <c r="U135" s="62"/>
      <c r="V135" s="97"/>
      <c r="W135" s="62"/>
      <c r="X135" s="62"/>
      <c r="Y135" s="62"/>
      <c r="Z135" s="114"/>
      <c r="AA135" s="62"/>
      <c r="AB135" s="62"/>
      <c r="AC135" s="62"/>
      <c r="AD135" s="98"/>
      <c r="AE135" s="99"/>
      <c r="AF135" s="98"/>
      <c r="AG135" s="100"/>
      <c r="AH135" s="63"/>
      <c r="AI135" s="101"/>
      <c r="AJ135" s="64"/>
      <c r="AK135" s="62"/>
      <c r="AL135" s="62"/>
      <c r="AM135" s="62"/>
      <c r="AN135" s="108"/>
      <c r="AO135" s="64"/>
      <c r="AP135" s="64"/>
      <c r="AQ135" s="97"/>
      <c r="AR135" s="63"/>
      <c r="AS135" s="64"/>
    </row>
    <row r="136" spans="1:45" ht="14.25" customHeight="1">
      <c r="A136" s="62"/>
      <c r="B136" s="62"/>
      <c r="C136" s="62"/>
      <c r="D136" s="97"/>
      <c r="E136" s="62"/>
      <c r="F136" s="62"/>
      <c r="G136" s="62"/>
      <c r="H136" s="62"/>
      <c r="I136" s="64"/>
      <c r="J136" s="62"/>
      <c r="K136" s="62"/>
      <c r="L136" s="62"/>
      <c r="M136" s="114"/>
      <c r="N136" s="114"/>
      <c r="O136" s="62"/>
      <c r="P136" s="62"/>
      <c r="Q136" s="62"/>
      <c r="R136" s="62"/>
      <c r="S136" s="62"/>
      <c r="T136" s="62"/>
      <c r="U136" s="62"/>
      <c r="V136" s="97"/>
      <c r="W136" s="62"/>
      <c r="X136" s="62"/>
      <c r="Y136" s="62"/>
      <c r="Z136" s="114"/>
      <c r="AA136" s="62"/>
      <c r="AB136" s="62"/>
      <c r="AC136" s="62"/>
      <c r="AD136" s="98"/>
      <c r="AE136" s="99"/>
      <c r="AF136" s="98"/>
      <c r="AG136" s="100"/>
      <c r="AH136" s="63"/>
      <c r="AI136" s="101"/>
      <c r="AJ136" s="64"/>
      <c r="AK136" s="62"/>
      <c r="AL136" s="62"/>
      <c r="AM136" s="62"/>
      <c r="AN136" s="62"/>
      <c r="AO136" s="64"/>
      <c r="AP136" s="64"/>
      <c r="AQ136" s="97"/>
      <c r="AR136" s="63"/>
      <c r="AS136" s="64"/>
    </row>
    <row r="137" spans="1:45" ht="14.25" customHeight="1">
      <c r="A137" s="62"/>
      <c r="B137" s="62"/>
      <c r="C137" s="62"/>
      <c r="D137" s="97"/>
      <c r="E137" s="62"/>
      <c r="F137" s="62"/>
      <c r="G137" s="62"/>
      <c r="H137" s="62"/>
      <c r="I137" s="64"/>
      <c r="J137" s="62"/>
      <c r="K137" s="62"/>
      <c r="L137" s="62"/>
      <c r="M137" s="114"/>
      <c r="N137" s="114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114"/>
      <c r="AA137" s="62"/>
      <c r="AB137" s="62"/>
      <c r="AC137" s="62"/>
      <c r="AD137" s="98"/>
      <c r="AE137" s="99"/>
      <c r="AF137" s="98"/>
      <c r="AG137" s="100"/>
      <c r="AH137" s="63"/>
      <c r="AI137" s="101"/>
      <c r="AJ137" s="64"/>
      <c r="AK137" s="62"/>
      <c r="AL137" s="62"/>
      <c r="AM137" s="62"/>
      <c r="AN137" s="108"/>
      <c r="AO137" s="64"/>
      <c r="AP137" s="64"/>
      <c r="AQ137" s="97"/>
      <c r="AR137" s="63"/>
      <c r="AS137" s="64"/>
    </row>
    <row r="138" spans="1:45" ht="14.25" customHeight="1">
      <c r="A138" s="62"/>
      <c r="B138" s="62"/>
      <c r="C138" s="62"/>
      <c r="D138" s="97"/>
      <c r="E138" s="62"/>
      <c r="F138" s="62"/>
      <c r="G138" s="62"/>
      <c r="H138" s="62"/>
      <c r="I138" s="64"/>
      <c r="J138" s="62"/>
      <c r="K138" s="62"/>
      <c r="L138" s="62"/>
      <c r="M138" s="114"/>
      <c r="N138" s="114"/>
      <c r="O138" s="62"/>
      <c r="P138" s="62"/>
      <c r="Q138" s="62"/>
      <c r="R138" s="62"/>
      <c r="S138" s="62"/>
      <c r="T138" s="62"/>
      <c r="U138" s="62"/>
      <c r="V138" s="97"/>
      <c r="W138" s="62"/>
      <c r="X138" s="62"/>
      <c r="Y138" s="62"/>
      <c r="Z138" s="114"/>
      <c r="AA138" s="62"/>
      <c r="AB138" s="62"/>
      <c r="AC138" s="62"/>
      <c r="AD138" s="98"/>
      <c r="AE138" s="99"/>
      <c r="AF138" s="98"/>
      <c r="AG138" s="100"/>
      <c r="AH138" s="63"/>
      <c r="AI138" s="101"/>
      <c r="AJ138" s="64"/>
      <c r="AK138" s="62"/>
      <c r="AL138" s="62"/>
      <c r="AM138" s="108"/>
      <c r="AN138" s="108"/>
      <c r="AO138" s="64"/>
      <c r="AP138" s="64"/>
      <c r="AQ138" s="97"/>
      <c r="AR138" s="63"/>
      <c r="AS138" s="64"/>
    </row>
    <row r="139" spans="1:45" ht="14.25" customHeight="1">
      <c r="A139" s="62"/>
      <c r="B139" s="62"/>
      <c r="C139" s="62"/>
      <c r="D139" s="97"/>
      <c r="E139" s="62"/>
      <c r="F139" s="62"/>
      <c r="G139" s="62"/>
      <c r="H139" s="62"/>
      <c r="I139" s="64"/>
      <c r="J139" s="62"/>
      <c r="K139" s="62"/>
      <c r="L139" s="62"/>
      <c r="M139" s="114"/>
      <c r="N139" s="114"/>
      <c r="O139" s="62"/>
      <c r="P139" s="62"/>
      <c r="Q139" s="62"/>
      <c r="R139" s="62"/>
      <c r="S139" s="62"/>
      <c r="T139" s="62"/>
      <c r="U139" s="62"/>
      <c r="V139" s="97"/>
      <c r="W139" s="62"/>
      <c r="X139" s="62"/>
      <c r="Y139" s="62"/>
      <c r="Z139" s="114"/>
      <c r="AA139" s="62"/>
      <c r="AB139" s="62"/>
      <c r="AC139" s="62"/>
      <c r="AD139" s="98"/>
      <c r="AE139" s="99"/>
      <c r="AF139" s="98"/>
      <c r="AG139" s="100"/>
      <c r="AH139" s="63"/>
      <c r="AI139" s="101"/>
      <c r="AJ139" s="64"/>
      <c r="AK139" s="62"/>
      <c r="AL139" s="62"/>
      <c r="AM139" s="108"/>
      <c r="AN139" s="108"/>
      <c r="AO139" s="64"/>
      <c r="AP139" s="64"/>
      <c r="AQ139" s="97"/>
      <c r="AR139" s="63"/>
      <c r="AS139" s="64"/>
    </row>
    <row r="140" spans="1:45" ht="14.25" customHeight="1">
      <c r="A140" s="62"/>
      <c r="B140" s="62"/>
      <c r="C140" s="62"/>
      <c r="D140" s="97"/>
      <c r="E140" s="62"/>
      <c r="F140" s="62"/>
      <c r="G140" s="62"/>
      <c r="H140" s="62"/>
      <c r="I140" s="64"/>
      <c r="J140" s="62"/>
      <c r="K140" s="62"/>
      <c r="L140" s="62"/>
      <c r="M140" s="114"/>
      <c r="N140" s="114"/>
      <c r="O140" s="62"/>
      <c r="P140" s="62"/>
      <c r="Q140" s="62"/>
      <c r="R140" s="62"/>
      <c r="S140" s="62"/>
      <c r="T140" s="62"/>
      <c r="U140" s="62"/>
      <c r="V140" s="97"/>
      <c r="W140" s="62"/>
      <c r="X140" s="62"/>
      <c r="Y140" s="62"/>
      <c r="Z140" s="114"/>
      <c r="AA140" s="62"/>
      <c r="AB140" s="62"/>
      <c r="AC140" s="62"/>
      <c r="AD140" s="98"/>
      <c r="AE140" s="99"/>
      <c r="AF140" s="98"/>
      <c r="AG140" s="100"/>
      <c r="AH140" s="63"/>
      <c r="AI140" s="101"/>
      <c r="AJ140" s="64"/>
      <c r="AK140" s="62"/>
      <c r="AL140" s="62"/>
      <c r="AM140" s="108"/>
      <c r="AN140" s="108"/>
      <c r="AO140" s="64"/>
      <c r="AP140" s="64"/>
      <c r="AQ140" s="97"/>
      <c r="AR140" s="63"/>
      <c r="AS140" s="64"/>
    </row>
    <row r="141" spans="1:45" ht="14.25" customHeight="1">
      <c r="A141" s="62"/>
      <c r="B141" s="62"/>
      <c r="C141" s="62"/>
      <c r="D141" s="97"/>
      <c r="E141" s="62"/>
      <c r="F141" s="62"/>
      <c r="G141" s="62"/>
      <c r="H141" s="62"/>
      <c r="I141" s="64"/>
      <c r="J141" s="62"/>
      <c r="K141" s="62"/>
      <c r="L141" s="62"/>
      <c r="M141" s="114"/>
      <c r="N141" s="114"/>
      <c r="O141" s="62"/>
      <c r="P141" s="62"/>
      <c r="Q141" s="62"/>
      <c r="R141" s="62"/>
      <c r="S141" s="62"/>
      <c r="T141" s="62"/>
      <c r="U141" s="62"/>
      <c r="V141" s="97"/>
      <c r="W141" s="133"/>
      <c r="X141" s="62"/>
      <c r="Y141" s="62"/>
      <c r="Z141" s="114"/>
      <c r="AA141" s="134"/>
      <c r="AB141" s="62"/>
      <c r="AC141" s="62"/>
      <c r="AD141" s="98"/>
      <c r="AE141" s="99"/>
      <c r="AF141" s="98"/>
      <c r="AG141" s="100"/>
      <c r="AH141" s="63"/>
      <c r="AI141" s="101"/>
      <c r="AJ141" s="64"/>
      <c r="AK141" s="62"/>
      <c r="AL141" s="62"/>
      <c r="AM141" s="108"/>
      <c r="AN141" s="108"/>
      <c r="AO141" s="101"/>
      <c r="AP141" s="101"/>
      <c r="AQ141" s="97"/>
      <c r="AR141" s="135"/>
      <c r="AS141" s="64"/>
    </row>
    <row r="142" spans="1:45" ht="13.5" customHeight="1">
      <c r="A142" s="62"/>
      <c r="B142" s="62"/>
      <c r="C142" s="62"/>
      <c r="D142" s="97"/>
      <c r="E142" s="62"/>
      <c r="F142" s="62"/>
      <c r="G142" s="62"/>
      <c r="H142" s="62"/>
      <c r="I142" s="64"/>
      <c r="J142" s="62"/>
      <c r="K142" s="62"/>
      <c r="L142" s="62"/>
      <c r="M142" s="114"/>
      <c r="N142" s="114"/>
      <c r="O142" s="62"/>
      <c r="P142" s="62"/>
      <c r="Q142" s="62"/>
      <c r="R142" s="62"/>
      <c r="S142" s="62"/>
      <c r="T142" s="62"/>
      <c r="U142" s="62"/>
      <c r="V142" s="97"/>
      <c r="W142" s="62"/>
      <c r="X142" s="62"/>
      <c r="Y142" s="62"/>
      <c r="Z142" s="114"/>
      <c r="AA142" s="62"/>
      <c r="AB142" s="62"/>
      <c r="AC142" s="62"/>
      <c r="AD142" s="98"/>
      <c r="AE142" s="99"/>
      <c r="AF142" s="98"/>
      <c r="AG142" s="100"/>
      <c r="AH142" s="63"/>
      <c r="AI142" s="101"/>
      <c r="AJ142" s="64"/>
      <c r="AK142" s="62"/>
      <c r="AL142" s="62"/>
      <c r="AM142" s="62"/>
      <c r="AN142" s="108"/>
      <c r="AO142" s="64"/>
      <c r="AP142" s="64"/>
      <c r="AQ142" s="97"/>
      <c r="AR142" s="63"/>
      <c r="AS142" s="64"/>
    </row>
    <row r="143" spans="1:45" ht="13.5" customHeight="1">
      <c r="A143" s="62"/>
      <c r="B143" s="62"/>
      <c r="C143" s="62"/>
      <c r="D143" s="97"/>
      <c r="E143" s="62"/>
      <c r="F143" s="62"/>
      <c r="G143" s="62"/>
      <c r="H143" s="62"/>
      <c r="I143" s="64"/>
      <c r="J143" s="62"/>
      <c r="K143" s="62"/>
      <c r="L143" s="62"/>
      <c r="M143" s="114"/>
      <c r="N143" s="114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114"/>
      <c r="AA143" s="62"/>
      <c r="AB143" s="62"/>
      <c r="AC143" s="62"/>
      <c r="AD143" s="98"/>
      <c r="AE143" s="99"/>
      <c r="AF143" s="98"/>
      <c r="AG143" s="100"/>
      <c r="AH143" s="63"/>
      <c r="AI143" s="101"/>
      <c r="AJ143" s="64"/>
      <c r="AK143" s="62"/>
      <c r="AL143" s="62"/>
      <c r="AM143" s="62"/>
      <c r="AN143" s="108"/>
      <c r="AO143" s="64"/>
      <c r="AP143" s="64"/>
      <c r="AQ143" s="62"/>
      <c r="AR143" s="63"/>
      <c r="AS143" s="64"/>
    </row>
    <row r="144" spans="1:45" ht="13.5" customHeight="1">
      <c r="A144" s="62"/>
      <c r="B144" s="62"/>
      <c r="C144" s="62"/>
      <c r="D144" s="97"/>
      <c r="E144" s="62"/>
      <c r="F144" s="62"/>
      <c r="G144" s="62"/>
      <c r="H144" s="62"/>
      <c r="I144" s="64"/>
      <c r="J144" s="62"/>
      <c r="K144" s="62"/>
      <c r="L144" s="62"/>
      <c r="M144" s="114"/>
      <c r="N144" s="114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114"/>
      <c r="AA144" s="62"/>
      <c r="AB144" s="62"/>
      <c r="AC144" s="62"/>
      <c r="AD144" s="98"/>
      <c r="AE144" s="99"/>
      <c r="AF144" s="98"/>
      <c r="AG144" s="100"/>
      <c r="AH144" s="63"/>
      <c r="AI144" s="101"/>
      <c r="AJ144" s="64"/>
      <c r="AK144" s="62"/>
      <c r="AL144" s="62"/>
      <c r="AM144" s="62"/>
      <c r="AN144" s="108"/>
      <c r="AO144" s="64"/>
      <c r="AP144" s="64"/>
      <c r="AQ144" s="62"/>
      <c r="AR144" s="63"/>
      <c r="AS144" s="64"/>
    </row>
    <row r="145" spans="1:45" ht="13.5" customHeight="1">
      <c r="A145" s="62"/>
      <c r="B145" s="62"/>
      <c r="C145" s="62"/>
      <c r="D145" s="97"/>
      <c r="E145" s="62"/>
      <c r="F145" s="62"/>
      <c r="G145" s="62"/>
      <c r="H145" s="62"/>
      <c r="I145" s="64"/>
      <c r="J145" s="62"/>
      <c r="K145" s="62"/>
      <c r="L145" s="62"/>
      <c r="M145" s="114"/>
      <c r="N145" s="114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114"/>
      <c r="AA145" s="62"/>
      <c r="AB145" s="62"/>
      <c r="AC145" s="62"/>
      <c r="AD145" s="98"/>
      <c r="AE145" s="99"/>
      <c r="AF145" s="98"/>
      <c r="AG145" s="100"/>
      <c r="AH145" s="63"/>
      <c r="AI145" s="101"/>
      <c r="AJ145" s="64"/>
      <c r="AK145" s="62"/>
      <c r="AL145" s="62"/>
      <c r="AM145" s="62"/>
      <c r="AN145" s="108"/>
      <c r="AO145" s="64"/>
      <c r="AP145" s="64"/>
      <c r="AQ145" s="62"/>
      <c r="AR145" s="63"/>
      <c r="AS145" s="64"/>
    </row>
    <row r="146" spans="1:45" ht="13.5" customHeight="1">
      <c r="A146" s="62"/>
      <c r="B146" s="62"/>
      <c r="C146" s="62"/>
      <c r="D146" s="97"/>
      <c r="E146" s="62"/>
      <c r="F146" s="62"/>
      <c r="G146" s="62"/>
      <c r="H146" s="62"/>
      <c r="I146" s="64"/>
      <c r="J146" s="62"/>
      <c r="K146" s="62"/>
      <c r="L146" s="62"/>
      <c r="M146" s="114"/>
      <c r="N146" s="114"/>
      <c r="O146" s="62"/>
      <c r="P146" s="62"/>
      <c r="Q146" s="62"/>
      <c r="R146" s="62"/>
      <c r="S146" s="62"/>
      <c r="T146" s="62"/>
      <c r="U146" s="62"/>
      <c r="V146" s="97"/>
      <c r="W146" s="62"/>
      <c r="X146" s="62"/>
      <c r="Y146" s="62"/>
      <c r="Z146" s="114"/>
      <c r="AA146" s="62"/>
      <c r="AB146" s="62"/>
      <c r="AC146" s="62"/>
      <c r="AD146" s="98"/>
      <c r="AE146" s="99"/>
      <c r="AF146" s="98"/>
      <c r="AG146" s="100"/>
      <c r="AH146" s="63"/>
      <c r="AI146" s="101"/>
      <c r="AJ146" s="64"/>
      <c r="AK146" s="62"/>
      <c r="AL146" s="62"/>
      <c r="AM146" s="62"/>
      <c r="AN146" s="108"/>
      <c r="AO146" s="64"/>
      <c r="AP146" s="64"/>
      <c r="AQ146" s="97"/>
      <c r="AR146" s="63"/>
      <c r="AS146" s="64"/>
    </row>
    <row r="147" spans="1:45" ht="13.5" customHeight="1">
      <c r="A147" s="62"/>
      <c r="B147" s="62"/>
      <c r="C147" s="62"/>
      <c r="D147" s="97"/>
      <c r="E147" s="62"/>
      <c r="F147" s="62"/>
      <c r="G147" s="62"/>
      <c r="H147" s="62"/>
      <c r="I147" s="64"/>
      <c r="J147" s="62"/>
      <c r="K147" s="62"/>
      <c r="L147" s="62"/>
      <c r="M147" s="114"/>
      <c r="N147" s="114"/>
      <c r="O147" s="62"/>
      <c r="P147" s="62"/>
      <c r="Q147" s="62"/>
      <c r="R147" s="62"/>
      <c r="S147" s="62"/>
      <c r="T147" s="62"/>
      <c r="U147" s="62"/>
      <c r="V147" s="97"/>
      <c r="W147" s="62"/>
      <c r="X147" s="62"/>
      <c r="Y147" s="62"/>
      <c r="Z147" s="114"/>
      <c r="AA147" s="62"/>
      <c r="AB147" s="62"/>
      <c r="AC147" s="62"/>
      <c r="AD147" s="98"/>
      <c r="AE147" s="99"/>
      <c r="AF147" s="98"/>
      <c r="AG147" s="100"/>
      <c r="AH147" s="63"/>
      <c r="AI147" s="101"/>
      <c r="AJ147" s="64"/>
      <c r="AK147" s="62"/>
      <c r="AL147" s="62"/>
      <c r="AM147" s="108"/>
      <c r="AN147" s="108"/>
      <c r="AO147" s="64"/>
      <c r="AP147" s="64"/>
      <c r="AQ147" s="97"/>
      <c r="AR147" s="63"/>
      <c r="AS147" s="64"/>
    </row>
    <row r="148" spans="1:45" ht="13.5" customHeight="1">
      <c r="A148" s="62"/>
      <c r="B148" s="62"/>
      <c r="C148" s="62"/>
      <c r="D148" s="97"/>
      <c r="E148" s="62"/>
      <c r="F148" s="62"/>
      <c r="G148" s="62"/>
      <c r="H148" s="62"/>
      <c r="I148" s="64"/>
      <c r="J148" s="62"/>
      <c r="K148" s="62"/>
      <c r="L148" s="62"/>
      <c r="M148" s="114"/>
      <c r="N148" s="114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114"/>
      <c r="AA148" s="62"/>
      <c r="AB148" s="62"/>
      <c r="AC148" s="62"/>
      <c r="AD148" s="98"/>
      <c r="AE148" s="99"/>
      <c r="AF148" s="98"/>
      <c r="AG148" s="100"/>
      <c r="AH148" s="63"/>
      <c r="AI148" s="101"/>
      <c r="AJ148" s="64"/>
      <c r="AK148" s="62"/>
      <c r="AL148" s="62"/>
      <c r="AM148" s="62"/>
      <c r="AN148" s="108"/>
      <c r="AO148" s="64"/>
      <c r="AP148" s="64"/>
      <c r="AQ148" s="62"/>
      <c r="AR148" s="63"/>
      <c r="AS148" s="64"/>
    </row>
    <row r="149" spans="1:45" ht="13.5" customHeight="1">
      <c r="A149" s="62"/>
      <c r="B149" s="62"/>
      <c r="C149" s="62"/>
      <c r="D149" s="97"/>
      <c r="E149" s="62"/>
      <c r="F149" s="62"/>
      <c r="G149" s="62"/>
      <c r="H149" s="62"/>
      <c r="I149" s="64"/>
      <c r="J149" s="62"/>
      <c r="K149" s="62"/>
      <c r="L149" s="62"/>
      <c r="M149" s="114"/>
      <c r="N149" s="114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114"/>
      <c r="AA149" s="62"/>
      <c r="AB149" s="62"/>
      <c r="AC149" s="62"/>
      <c r="AD149" s="98"/>
      <c r="AE149" s="99"/>
      <c r="AF149" s="98"/>
      <c r="AG149" s="100"/>
      <c r="AH149" s="63"/>
      <c r="AI149" s="101"/>
      <c r="AJ149" s="64"/>
      <c r="AK149" s="62"/>
      <c r="AL149" s="62"/>
      <c r="AM149" s="62"/>
      <c r="AN149" s="108"/>
      <c r="AO149" s="64"/>
      <c r="AP149" s="64"/>
      <c r="AQ149" s="62"/>
      <c r="AR149" s="63"/>
      <c r="AS149" s="64"/>
    </row>
    <row r="150" spans="1:45" ht="13.5" customHeight="1">
      <c r="A150" s="62"/>
      <c r="B150" s="62"/>
      <c r="C150" s="62"/>
      <c r="D150" s="97"/>
      <c r="E150" s="62"/>
      <c r="F150" s="62"/>
      <c r="G150" s="62"/>
      <c r="H150" s="62"/>
      <c r="I150" s="64"/>
      <c r="J150" s="62"/>
      <c r="K150" s="62"/>
      <c r="L150" s="62"/>
      <c r="M150" s="114"/>
      <c r="N150" s="114"/>
      <c r="O150" s="62"/>
      <c r="P150" s="62"/>
      <c r="Q150" s="62"/>
      <c r="R150" s="62"/>
      <c r="S150" s="62"/>
      <c r="T150" s="62"/>
      <c r="U150" s="62"/>
      <c r="V150" s="97"/>
      <c r="W150" s="62"/>
      <c r="X150" s="62"/>
      <c r="Y150" s="62"/>
      <c r="Z150" s="114"/>
      <c r="AA150" s="62"/>
      <c r="AB150" s="62"/>
      <c r="AC150" s="62"/>
      <c r="AD150" s="98"/>
      <c r="AE150" s="99"/>
      <c r="AF150" s="98"/>
      <c r="AG150" s="100"/>
      <c r="AH150" s="63"/>
      <c r="AI150" s="101"/>
      <c r="AJ150" s="64"/>
      <c r="AK150" s="62"/>
      <c r="AL150" s="62"/>
      <c r="AM150" s="108"/>
      <c r="AN150" s="108"/>
      <c r="AO150" s="64"/>
      <c r="AP150" s="64"/>
      <c r="AQ150" s="97"/>
      <c r="AR150" s="63"/>
      <c r="AS150" s="64"/>
    </row>
    <row r="151" spans="1:45" ht="13.5" customHeight="1">
      <c r="A151" s="62"/>
      <c r="B151" s="62"/>
      <c r="C151" s="62"/>
      <c r="D151" s="97"/>
      <c r="E151" s="62"/>
      <c r="F151" s="62"/>
      <c r="G151" s="62"/>
      <c r="H151" s="62"/>
      <c r="I151" s="64"/>
      <c r="J151" s="62"/>
      <c r="K151" s="62"/>
      <c r="L151" s="62"/>
      <c r="M151" s="114"/>
      <c r="N151" s="114"/>
      <c r="O151" s="62"/>
      <c r="P151" s="62"/>
      <c r="Q151" s="62"/>
      <c r="R151" s="62"/>
      <c r="S151" s="62"/>
      <c r="T151" s="62"/>
      <c r="U151" s="62"/>
      <c r="V151" s="97"/>
      <c r="W151" s="62"/>
      <c r="X151" s="62"/>
      <c r="Y151" s="62"/>
      <c r="Z151" s="114"/>
      <c r="AA151" s="62"/>
      <c r="AB151" s="62"/>
      <c r="AC151" s="62"/>
      <c r="AD151" s="98"/>
      <c r="AE151" s="99"/>
      <c r="AF151" s="98"/>
      <c r="AG151" s="100"/>
      <c r="AH151" s="63"/>
      <c r="AI151" s="101"/>
      <c r="AJ151" s="64"/>
      <c r="AK151" s="62"/>
      <c r="AL151" s="62"/>
      <c r="AM151" s="108"/>
      <c r="AN151" s="108"/>
      <c r="AO151" s="64"/>
      <c r="AP151" s="64"/>
      <c r="AQ151" s="97"/>
      <c r="AR151" s="63"/>
      <c r="AS151" s="64"/>
    </row>
    <row r="152" spans="1:45" ht="13.5" customHeight="1">
      <c r="A152" s="62"/>
      <c r="B152" s="62"/>
      <c r="C152" s="62"/>
      <c r="D152" s="97"/>
      <c r="E152" s="62"/>
      <c r="F152" s="62"/>
      <c r="G152" s="62"/>
      <c r="H152" s="62"/>
      <c r="I152" s="64"/>
      <c r="J152" s="62"/>
      <c r="K152" s="62"/>
      <c r="L152" s="62"/>
      <c r="M152" s="114"/>
      <c r="N152" s="114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114"/>
      <c r="AA152" s="62"/>
      <c r="AB152" s="62"/>
      <c r="AC152" s="62"/>
      <c r="AD152" s="98"/>
      <c r="AE152" s="99"/>
      <c r="AF152" s="98"/>
      <c r="AG152" s="100"/>
      <c r="AH152" s="63"/>
      <c r="AI152" s="101"/>
      <c r="AJ152" s="64"/>
      <c r="AK152" s="62"/>
      <c r="AL152" s="62"/>
      <c r="AM152" s="62"/>
      <c r="AN152" s="108"/>
      <c r="AO152" s="64"/>
      <c r="AP152" s="64"/>
      <c r="AQ152" s="62"/>
      <c r="AR152" s="63"/>
      <c r="AS152" s="64"/>
    </row>
    <row r="153" spans="1:45" ht="13.5" customHeight="1">
      <c r="A153" s="62"/>
      <c r="B153" s="62"/>
      <c r="C153" s="62"/>
      <c r="D153" s="97"/>
      <c r="E153" s="62"/>
      <c r="F153" s="62"/>
      <c r="G153" s="62"/>
      <c r="H153" s="62"/>
      <c r="I153" s="64"/>
      <c r="J153" s="62"/>
      <c r="K153" s="62"/>
      <c r="L153" s="62"/>
      <c r="M153" s="114"/>
      <c r="N153" s="114"/>
      <c r="O153" s="62"/>
      <c r="P153" s="62"/>
      <c r="Q153" s="62"/>
      <c r="R153" s="62"/>
      <c r="S153" s="62"/>
      <c r="T153" s="62"/>
      <c r="U153" s="62"/>
      <c r="V153" s="97"/>
      <c r="W153" s="133"/>
      <c r="X153" s="62"/>
      <c r="Y153" s="62"/>
      <c r="Z153" s="114"/>
      <c r="AA153" s="62"/>
      <c r="AB153" s="62"/>
      <c r="AC153" s="62"/>
      <c r="AD153" s="98"/>
      <c r="AE153" s="99"/>
      <c r="AF153" s="98"/>
      <c r="AG153" s="100"/>
      <c r="AH153" s="63"/>
      <c r="AI153" s="101"/>
      <c r="AJ153" s="64"/>
      <c r="AK153" s="62"/>
      <c r="AL153" s="62"/>
      <c r="AM153" s="62"/>
      <c r="AN153" s="108"/>
      <c r="AO153" s="64"/>
      <c r="AP153" s="64"/>
      <c r="AQ153" s="97"/>
      <c r="AR153" s="63"/>
      <c r="AS153" s="64"/>
    </row>
    <row r="154" spans="1:45" ht="13.5" customHeight="1">
      <c r="A154" s="62"/>
      <c r="B154" s="62"/>
      <c r="C154" s="62"/>
      <c r="D154" s="97"/>
      <c r="E154" s="62"/>
      <c r="F154" s="62"/>
      <c r="G154" s="62"/>
      <c r="H154" s="62"/>
      <c r="I154" s="64"/>
      <c r="J154" s="62"/>
      <c r="K154" s="62"/>
      <c r="L154" s="62"/>
      <c r="M154" s="114"/>
      <c r="N154" s="114"/>
      <c r="O154" s="62"/>
      <c r="P154" s="62"/>
      <c r="Q154" s="62"/>
      <c r="R154" s="62"/>
      <c r="S154" s="62"/>
      <c r="T154" s="62"/>
      <c r="U154" s="62"/>
      <c r="V154" s="97"/>
      <c r="W154" s="62"/>
      <c r="X154" s="62"/>
      <c r="Y154" s="62"/>
      <c r="Z154" s="114"/>
      <c r="AA154" s="62"/>
      <c r="AB154" s="62"/>
      <c r="AC154" s="62"/>
      <c r="AD154" s="98"/>
      <c r="AE154" s="99"/>
      <c r="AF154" s="98"/>
      <c r="AG154" s="100"/>
      <c r="AH154" s="63"/>
      <c r="AI154" s="101"/>
      <c r="AJ154" s="64"/>
      <c r="AK154" s="62"/>
      <c r="AL154" s="62"/>
      <c r="AM154" s="62"/>
      <c r="AN154" s="108"/>
      <c r="AO154" s="64"/>
      <c r="AP154" s="64"/>
      <c r="AQ154" s="97"/>
      <c r="AR154" s="63"/>
      <c r="AS154" s="64"/>
    </row>
    <row r="155" spans="1:45" ht="13.5" customHeight="1">
      <c r="A155" s="62"/>
      <c r="B155" s="62"/>
      <c r="C155" s="62"/>
      <c r="D155" s="97"/>
      <c r="E155" s="62"/>
      <c r="F155" s="62"/>
      <c r="G155" s="62"/>
      <c r="H155" s="62"/>
      <c r="I155" s="64"/>
      <c r="J155" s="62"/>
      <c r="K155" s="62"/>
      <c r="L155" s="62"/>
      <c r="M155" s="114"/>
      <c r="N155" s="114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114"/>
      <c r="AA155" s="62"/>
      <c r="AB155" s="62"/>
      <c r="AC155" s="62"/>
      <c r="AD155" s="98"/>
      <c r="AE155" s="99"/>
      <c r="AF155" s="98"/>
      <c r="AG155" s="100"/>
      <c r="AH155" s="63"/>
      <c r="AI155" s="101"/>
      <c r="AJ155" s="64"/>
      <c r="AK155" s="62"/>
      <c r="AL155" s="62"/>
      <c r="AM155" s="62"/>
      <c r="AN155" s="108"/>
      <c r="AO155" s="64"/>
      <c r="AP155" s="64"/>
      <c r="AQ155" s="62"/>
      <c r="AR155" s="63"/>
      <c r="AS155" s="64"/>
    </row>
    <row r="156" spans="1:45" ht="13.5" customHeight="1">
      <c r="A156" s="62"/>
      <c r="B156" s="62"/>
      <c r="C156" s="62"/>
      <c r="D156" s="97"/>
      <c r="E156" s="62"/>
      <c r="F156" s="62"/>
      <c r="G156" s="62"/>
      <c r="H156" s="62"/>
      <c r="I156" s="64"/>
      <c r="J156" s="62"/>
      <c r="K156" s="62"/>
      <c r="L156" s="62"/>
      <c r="M156" s="114"/>
      <c r="N156" s="114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114"/>
      <c r="AA156" s="62"/>
      <c r="AB156" s="62"/>
      <c r="AC156" s="62"/>
      <c r="AD156" s="98"/>
      <c r="AE156" s="99"/>
      <c r="AF156" s="98"/>
      <c r="AG156" s="100"/>
      <c r="AH156" s="63"/>
      <c r="AI156" s="101"/>
      <c r="AJ156" s="64"/>
      <c r="AK156" s="62"/>
      <c r="AL156" s="62"/>
      <c r="AM156" s="62"/>
      <c r="AN156" s="108"/>
      <c r="AO156" s="64"/>
      <c r="AP156" s="64"/>
      <c r="AQ156" s="62"/>
      <c r="AR156" s="63"/>
      <c r="AS156" s="64"/>
    </row>
    <row r="157" spans="1:45" ht="13.5" customHeight="1">
      <c r="A157" s="62"/>
      <c r="B157" s="62"/>
      <c r="C157" s="62"/>
      <c r="D157" s="97"/>
      <c r="E157" s="62"/>
      <c r="F157" s="62"/>
      <c r="G157" s="62"/>
      <c r="H157" s="62"/>
      <c r="I157" s="64"/>
      <c r="J157" s="62"/>
      <c r="K157" s="62"/>
      <c r="L157" s="62"/>
      <c r="M157" s="114"/>
      <c r="N157" s="114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114"/>
      <c r="AA157" s="62"/>
      <c r="AB157" s="62"/>
      <c r="AC157" s="62"/>
      <c r="AD157" s="98"/>
      <c r="AE157" s="99"/>
      <c r="AF157" s="98"/>
      <c r="AG157" s="100"/>
      <c r="AH157" s="63"/>
      <c r="AI157" s="101"/>
      <c r="AJ157" s="64"/>
      <c r="AK157" s="62"/>
      <c r="AL157" s="62"/>
      <c r="AM157" s="62"/>
      <c r="AN157" s="108"/>
      <c r="AO157" s="64"/>
      <c r="AP157" s="64"/>
      <c r="AQ157" s="62"/>
      <c r="AR157" s="63"/>
      <c r="AS157" s="64"/>
    </row>
    <row r="158" spans="1:45" ht="13.5" customHeight="1">
      <c r="A158" s="62"/>
      <c r="B158" s="62"/>
      <c r="C158" s="62"/>
      <c r="D158" s="97"/>
      <c r="E158" s="62"/>
      <c r="F158" s="62"/>
      <c r="G158" s="62"/>
      <c r="H158" s="62"/>
      <c r="I158" s="64"/>
      <c r="J158" s="62"/>
      <c r="K158" s="62"/>
      <c r="L158" s="62"/>
      <c r="M158" s="114"/>
      <c r="N158" s="114"/>
      <c r="O158" s="62"/>
      <c r="P158" s="62"/>
      <c r="Q158" s="62"/>
      <c r="R158" s="62"/>
      <c r="S158" s="62"/>
      <c r="T158" s="62"/>
      <c r="U158" s="62"/>
      <c r="V158" s="97"/>
      <c r="W158" s="62"/>
      <c r="X158" s="62"/>
      <c r="Y158" s="62"/>
      <c r="Z158" s="114"/>
      <c r="AA158" s="62"/>
      <c r="AB158" s="62"/>
      <c r="AC158" s="62"/>
      <c r="AD158" s="98"/>
      <c r="AE158" s="99"/>
      <c r="AF158" s="98"/>
      <c r="AG158" s="100"/>
      <c r="AH158" s="63"/>
      <c r="AI158" s="101"/>
      <c r="AJ158" s="64"/>
      <c r="AK158" s="62"/>
      <c r="AL158" s="62"/>
      <c r="AM158" s="62"/>
      <c r="AN158" s="108"/>
      <c r="AO158" s="64"/>
      <c r="AP158" s="64"/>
      <c r="AQ158" s="97"/>
      <c r="AR158" s="63"/>
      <c r="AS158" s="64"/>
    </row>
    <row r="159" spans="1:45" ht="13.5" customHeight="1">
      <c r="A159" s="62"/>
      <c r="B159" s="62"/>
      <c r="C159" s="62"/>
      <c r="D159" s="97"/>
      <c r="E159" s="62"/>
      <c r="F159" s="62"/>
      <c r="G159" s="62"/>
      <c r="H159" s="62"/>
      <c r="I159" s="64"/>
      <c r="J159" s="62"/>
      <c r="K159" s="62"/>
      <c r="L159" s="62"/>
      <c r="M159" s="114"/>
      <c r="N159" s="114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114"/>
      <c r="AA159" s="62"/>
      <c r="AB159" s="62"/>
      <c r="AC159" s="62"/>
      <c r="AD159" s="98"/>
      <c r="AE159" s="99"/>
      <c r="AF159" s="98"/>
      <c r="AG159" s="100"/>
      <c r="AH159" s="63"/>
      <c r="AI159" s="101"/>
      <c r="AJ159" s="64"/>
      <c r="AK159" s="62"/>
      <c r="AL159" s="62"/>
      <c r="AM159" s="62"/>
      <c r="AN159" s="108"/>
      <c r="AO159" s="64"/>
      <c r="AP159" s="64"/>
      <c r="AQ159" s="62"/>
      <c r="AR159" s="63"/>
      <c r="AS159" s="64"/>
    </row>
    <row r="160" spans="1:45" ht="13.5" customHeight="1">
      <c r="A160" s="62"/>
      <c r="B160" s="62"/>
      <c r="C160" s="62"/>
      <c r="D160" s="97"/>
      <c r="E160" s="62"/>
      <c r="F160" s="62"/>
      <c r="G160" s="62"/>
      <c r="H160" s="62"/>
      <c r="I160" s="64"/>
      <c r="J160" s="62"/>
      <c r="K160" s="62"/>
      <c r="L160" s="62"/>
      <c r="M160" s="114"/>
      <c r="N160" s="114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114"/>
      <c r="AA160" s="62"/>
      <c r="AB160" s="62"/>
      <c r="AC160" s="62"/>
      <c r="AD160" s="98"/>
      <c r="AE160" s="99"/>
      <c r="AF160" s="98"/>
      <c r="AG160" s="100"/>
      <c r="AH160" s="63"/>
      <c r="AI160" s="101"/>
      <c r="AJ160" s="64"/>
      <c r="AK160" s="62"/>
      <c r="AL160" s="62"/>
      <c r="AM160" s="62"/>
      <c r="AN160" s="108"/>
      <c r="AO160" s="64"/>
      <c r="AP160" s="64"/>
      <c r="AQ160" s="62"/>
      <c r="AR160" s="63"/>
      <c r="AS160" s="64"/>
    </row>
    <row r="161" spans="1:45" ht="13.5" customHeight="1">
      <c r="A161" s="62"/>
      <c r="B161" s="62"/>
      <c r="C161" s="62"/>
      <c r="D161" s="97"/>
      <c r="E161" s="62"/>
      <c r="F161" s="62"/>
      <c r="G161" s="62"/>
      <c r="H161" s="62"/>
      <c r="I161" s="64"/>
      <c r="J161" s="62"/>
      <c r="K161" s="62"/>
      <c r="L161" s="62"/>
      <c r="M161" s="114"/>
      <c r="N161" s="114"/>
      <c r="O161" s="62"/>
      <c r="P161" s="62"/>
      <c r="Q161" s="62"/>
      <c r="R161" s="62"/>
      <c r="S161" s="62"/>
      <c r="T161" s="62"/>
      <c r="U161" s="62"/>
      <c r="V161" s="97"/>
      <c r="W161" s="62"/>
      <c r="X161" s="62"/>
      <c r="Y161" s="62"/>
      <c r="Z161" s="114"/>
      <c r="AA161" s="62"/>
      <c r="AB161" s="62"/>
      <c r="AC161" s="62"/>
      <c r="AD161" s="98"/>
      <c r="AE161" s="99"/>
      <c r="AF161" s="98"/>
      <c r="AG161" s="100"/>
      <c r="AH161" s="63"/>
      <c r="AI161" s="101"/>
      <c r="AJ161" s="64"/>
      <c r="AK161" s="62"/>
      <c r="AL161" s="62"/>
      <c r="AM161" s="62"/>
      <c r="AN161" s="108"/>
      <c r="AO161" s="64"/>
      <c r="AP161" s="64"/>
      <c r="AQ161" s="62"/>
      <c r="AR161" s="63"/>
      <c r="AS161" s="64"/>
    </row>
    <row r="162" spans="1:45" ht="13.5" customHeight="1">
      <c r="A162" s="62"/>
      <c r="B162" s="62"/>
      <c r="C162" s="62"/>
      <c r="D162" s="97"/>
      <c r="E162" s="62"/>
      <c r="F162" s="62"/>
      <c r="G162" s="62"/>
      <c r="H162" s="62"/>
      <c r="I162" s="64"/>
      <c r="J162" s="62"/>
      <c r="K162" s="62"/>
      <c r="L162" s="62"/>
      <c r="M162" s="114"/>
      <c r="N162" s="114"/>
      <c r="O162" s="62"/>
      <c r="P162" s="62"/>
      <c r="Q162" s="62"/>
      <c r="R162" s="62"/>
      <c r="S162" s="62"/>
      <c r="T162" s="62"/>
      <c r="U162" s="62"/>
      <c r="V162" s="97"/>
      <c r="W162" s="133"/>
      <c r="X162" s="62"/>
      <c r="Y162" s="62"/>
      <c r="Z162" s="114"/>
      <c r="AA162" s="62"/>
      <c r="AB162" s="62"/>
      <c r="AC162" s="62"/>
      <c r="AD162" s="98"/>
      <c r="AE162" s="99"/>
      <c r="AF162" s="98"/>
      <c r="AG162" s="100"/>
      <c r="AH162" s="63"/>
      <c r="AI162" s="101"/>
      <c r="AJ162" s="64"/>
      <c r="AK162" s="62"/>
      <c r="AL162" s="62"/>
      <c r="AM162" s="62"/>
      <c r="AN162" s="108"/>
      <c r="AO162" s="64"/>
      <c r="AP162" s="64"/>
      <c r="AQ162" s="97"/>
      <c r="AR162" s="63"/>
      <c r="AS162" s="64"/>
    </row>
    <row r="163" spans="1:45" ht="13.5" customHeight="1">
      <c r="A163" s="62"/>
      <c r="B163" s="62"/>
      <c r="C163" s="62"/>
      <c r="D163" s="97"/>
      <c r="E163" s="62"/>
      <c r="F163" s="62"/>
      <c r="G163" s="62"/>
      <c r="H163" s="62"/>
      <c r="I163" s="64"/>
      <c r="J163" s="62"/>
      <c r="K163" s="62"/>
      <c r="L163" s="62"/>
      <c r="M163" s="114"/>
      <c r="N163" s="114"/>
      <c r="O163" s="62"/>
      <c r="P163" s="62"/>
      <c r="Q163" s="62"/>
      <c r="R163" s="62"/>
      <c r="S163" s="62"/>
      <c r="T163" s="62"/>
      <c r="U163" s="62"/>
      <c r="V163" s="97"/>
      <c r="W163" s="62"/>
      <c r="X163" s="62"/>
      <c r="Y163" s="62"/>
      <c r="Z163" s="114"/>
      <c r="AA163" s="62"/>
      <c r="AB163" s="62"/>
      <c r="AC163" s="62"/>
      <c r="AD163" s="98"/>
      <c r="AE163" s="99"/>
      <c r="AF163" s="98"/>
      <c r="AG163" s="100"/>
      <c r="AH163" s="63"/>
      <c r="AI163" s="101"/>
      <c r="AJ163" s="64"/>
      <c r="AK163" s="62"/>
      <c r="AL163" s="62"/>
      <c r="AM163" s="62"/>
      <c r="AN163" s="108"/>
      <c r="AO163" s="64"/>
      <c r="AP163" s="64"/>
      <c r="AQ163" s="136"/>
      <c r="AR163" s="63"/>
      <c r="AS163" s="64"/>
    </row>
    <row r="164" spans="1:45" ht="13.5" customHeight="1">
      <c r="A164" s="62"/>
      <c r="B164" s="62"/>
      <c r="C164" s="62"/>
      <c r="D164" s="97"/>
      <c r="E164" s="62"/>
      <c r="F164" s="62"/>
      <c r="G164" s="62"/>
      <c r="H164" s="62"/>
      <c r="I164" s="64"/>
      <c r="J164" s="62"/>
      <c r="K164" s="62"/>
      <c r="L164" s="62"/>
      <c r="M164" s="114"/>
      <c r="N164" s="114"/>
      <c r="O164" s="62"/>
      <c r="P164" s="62"/>
      <c r="Q164" s="62"/>
      <c r="R164" s="62"/>
      <c r="S164" s="62"/>
      <c r="T164" s="62"/>
      <c r="U164" s="62"/>
      <c r="V164" s="97"/>
      <c r="W164" s="62"/>
      <c r="X164" s="62"/>
      <c r="Y164" s="62"/>
      <c r="Z164" s="114"/>
      <c r="AA164" s="62"/>
      <c r="AB164" s="62"/>
      <c r="AC164" s="62"/>
      <c r="AD164" s="98"/>
      <c r="AE164" s="99"/>
      <c r="AF164" s="98"/>
      <c r="AG164" s="100"/>
      <c r="AH164" s="63"/>
      <c r="AI164" s="101"/>
      <c r="AJ164" s="64"/>
      <c r="AK164" s="62"/>
      <c r="AL164" s="62"/>
      <c r="AM164" s="62"/>
      <c r="AN164" s="62"/>
      <c r="AO164" s="64"/>
      <c r="AP164" s="64"/>
      <c r="AQ164" s="97"/>
      <c r="AR164" s="63"/>
      <c r="AS164" s="64"/>
    </row>
    <row r="165" spans="1:45" ht="13.5" customHeight="1">
      <c r="A165" s="62"/>
      <c r="B165" s="62"/>
      <c r="C165" s="62"/>
      <c r="D165" s="97"/>
      <c r="E165" s="62"/>
      <c r="F165" s="62"/>
      <c r="G165" s="62"/>
      <c r="H165" s="62"/>
      <c r="I165" s="64"/>
      <c r="J165" s="62"/>
      <c r="K165" s="62"/>
      <c r="L165" s="62"/>
      <c r="M165" s="114"/>
      <c r="N165" s="114"/>
      <c r="O165" s="62"/>
      <c r="P165" s="62"/>
      <c r="Q165" s="62"/>
      <c r="R165" s="62"/>
      <c r="S165" s="62"/>
      <c r="T165" s="62"/>
      <c r="U165" s="62"/>
      <c r="V165" s="97"/>
      <c r="W165" s="62"/>
      <c r="X165" s="62"/>
      <c r="Y165" s="62"/>
      <c r="Z165" s="114"/>
      <c r="AA165" s="62"/>
      <c r="AB165" s="62"/>
      <c r="AC165" s="62"/>
      <c r="AD165" s="98"/>
      <c r="AE165" s="99"/>
      <c r="AF165" s="98"/>
      <c r="AG165" s="100"/>
      <c r="AH165" s="63"/>
      <c r="AI165" s="101"/>
      <c r="AJ165" s="64"/>
      <c r="AK165" s="62"/>
      <c r="AL165" s="62"/>
      <c r="AM165" s="62"/>
      <c r="AN165" s="62"/>
      <c r="AO165" s="64"/>
      <c r="AP165" s="64"/>
      <c r="AQ165" s="97"/>
      <c r="AR165" s="63"/>
      <c r="AS165" s="64"/>
    </row>
    <row r="166" spans="1:45" ht="13.5" customHeight="1">
      <c r="A166" s="62"/>
      <c r="B166" s="62"/>
      <c r="C166" s="62"/>
      <c r="D166" s="97"/>
      <c r="E166" s="62"/>
      <c r="F166" s="62"/>
      <c r="G166" s="62"/>
      <c r="H166" s="62"/>
      <c r="I166" s="64"/>
      <c r="J166" s="62"/>
      <c r="K166" s="62"/>
      <c r="L166" s="62"/>
      <c r="M166" s="114"/>
      <c r="N166" s="114"/>
      <c r="O166" s="62"/>
      <c r="P166" s="62"/>
      <c r="Q166" s="62"/>
      <c r="R166" s="62"/>
      <c r="S166" s="62"/>
      <c r="T166" s="62"/>
      <c r="U166" s="62"/>
      <c r="V166" s="97"/>
      <c r="W166" s="62"/>
      <c r="X166" s="62"/>
      <c r="Y166" s="62"/>
      <c r="Z166" s="114"/>
      <c r="AA166" s="62"/>
      <c r="AB166" s="62"/>
      <c r="AC166" s="62"/>
      <c r="AD166" s="98"/>
      <c r="AE166" s="99"/>
      <c r="AF166" s="98"/>
      <c r="AG166" s="100"/>
      <c r="AH166" s="63"/>
      <c r="AI166" s="101"/>
      <c r="AJ166" s="64"/>
      <c r="AK166" s="62"/>
      <c r="AL166" s="62"/>
      <c r="AM166" s="62"/>
      <c r="AN166" s="62"/>
      <c r="AO166" s="64"/>
      <c r="AP166" s="64"/>
      <c r="AQ166" s="97"/>
      <c r="AR166" s="63"/>
      <c r="AS166" s="64"/>
    </row>
    <row r="167" spans="1:45" ht="13.5" customHeight="1">
      <c r="A167" s="62"/>
      <c r="B167" s="62"/>
      <c r="C167" s="62"/>
      <c r="D167" s="97"/>
      <c r="E167" s="62"/>
      <c r="F167" s="62"/>
      <c r="G167" s="62"/>
      <c r="H167" s="62"/>
      <c r="I167" s="64"/>
      <c r="J167" s="62"/>
      <c r="K167" s="62"/>
      <c r="L167" s="62"/>
      <c r="M167" s="114"/>
      <c r="N167" s="114"/>
      <c r="O167" s="62"/>
      <c r="P167" s="62"/>
      <c r="Q167" s="62"/>
      <c r="R167" s="62"/>
      <c r="S167" s="62"/>
      <c r="T167" s="62"/>
      <c r="U167" s="62"/>
      <c r="V167" s="97"/>
      <c r="W167" s="62"/>
      <c r="X167" s="62"/>
      <c r="Y167" s="62"/>
      <c r="Z167" s="114"/>
      <c r="AA167" s="62"/>
      <c r="AB167" s="62"/>
      <c r="AC167" s="62"/>
      <c r="AD167" s="98"/>
      <c r="AE167" s="99"/>
      <c r="AF167" s="98"/>
      <c r="AG167" s="100"/>
      <c r="AH167" s="63"/>
      <c r="AI167" s="101"/>
      <c r="AJ167" s="64"/>
      <c r="AK167" s="62"/>
      <c r="AL167" s="62"/>
      <c r="AM167" s="62"/>
      <c r="AN167" s="108"/>
      <c r="AO167" s="64"/>
      <c r="AP167" s="64"/>
      <c r="AQ167" s="97"/>
      <c r="AR167" s="63"/>
      <c r="AS167" s="64"/>
    </row>
    <row r="168" spans="1:45" ht="13.5" customHeight="1">
      <c r="A168" s="62"/>
      <c r="B168" s="62"/>
      <c r="C168" s="62"/>
      <c r="D168" s="97"/>
      <c r="E168" s="62"/>
      <c r="F168" s="62"/>
      <c r="G168" s="62"/>
      <c r="H168" s="62"/>
      <c r="I168" s="64"/>
      <c r="J168" s="62"/>
      <c r="K168" s="62"/>
      <c r="L168" s="62"/>
      <c r="M168" s="114"/>
      <c r="N168" s="114"/>
      <c r="O168" s="62"/>
      <c r="P168" s="62"/>
      <c r="Q168" s="62"/>
      <c r="R168" s="62"/>
      <c r="S168" s="62"/>
      <c r="T168" s="62"/>
      <c r="U168" s="62"/>
      <c r="V168" s="97"/>
      <c r="W168" s="62"/>
      <c r="X168" s="62"/>
      <c r="Y168" s="62"/>
      <c r="Z168" s="114"/>
      <c r="AA168" s="62"/>
      <c r="AB168" s="62"/>
      <c r="AC168" s="62"/>
      <c r="AD168" s="98"/>
      <c r="AE168" s="99"/>
      <c r="AF168" s="98"/>
      <c r="AG168" s="100"/>
      <c r="AH168" s="63"/>
      <c r="AI168" s="101"/>
      <c r="AJ168" s="64"/>
      <c r="AK168" s="62"/>
      <c r="AL168" s="62"/>
      <c r="AM168" s="62"/>
      <c r="AN168" s="108"/>
      <c r="AO168" s="64"/>
      <c r="AP168" s="64"/>
      <c r="AQ168" s="97"/>
      <c r="AR168" s="63"/>
      <c r="AS168" s="64"/>
    </row>
    <row r="169" spans="1:45" ht="13.5" customHeight="1">
      <c r="A169" s="62"/>
      <c r="B169" s="62"/>
      <c r="C169" s="62"/>
      <c r="D169" s="97"/>
      <c r="E169" s="62"/>
      <c r="F169" s="62"/>
      <c r="G169" s="62"/>
      <c r="H169" s="62"/>
      <c r="I169" s="64"/>
      <c r="J169" s="62"/>
      <c r="K169" s="62"/>
      <c r="L169" s="62"/>
      <c r="M169" s="114"/>
      <c r="N169" s="114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114"/>
      <c r="AA169" s="62"/>
      <c r="AB169" s="62"/>
      <c r="AC169" s="62"/>
      <c r="AD169" s="98"/>
      <c r="AE169" s="99"/>
      <c r="AF169" s="98"/>
      <c r="AG169" s="100"/>
      <c r="AH169" s="63"/>
      <c r="AI169" s="101"/>
      <c r="AJ169" s="64"/>
      <c r="AK169" s="62"/>
      <c r="AL169" s="62"/>
      <c r="AM169" s="62"/>
      <c r="AN169" s="108"/>
      <c r="AO169" s="64"/>
      <c r="AP169" s="64"/>
      <c r="AQ169" s="62"/>
      <c r="AR169" s="63"/>
      <c r="AS169" s="64"/>
    </row>
    <row r="170" spans="1:45" ht="13.5" customHeight="1">
      <c r="A170" s="62"/>
      <c r="B170" s="62"/>
      <c r="C170" s="62"/>
      <c r="D170" s="97"/>
      <c r="E170" s="62"/>
      <c r="F170" s="62"/>
      <c r="G170" s="62"/>
      <c r="H170" s="62"/>
      <c r="I170" s="64"/>
      <c r="J170" s="62"/>
      <c r="K170" s="62"/>
      <c r="L170" s="62"/>
      <c r="M170" s="228"/>
      <c r="N170" s="114"/>
      <c r="O170" s="62"/>
      <c r="P170" s="62"/>
      <c r="Q170" s="62"/>
      <c r="R170" s="62"/>
      <c r="S170" s="62"/>
      <c r="T170" s="62"/>
      <c r="U170" s="62"/>
      <c r="V170" s="97"/>
      <c r="W170" s="137"/>
      <c r="X170" s="62"/>
      <c r="Y170" s="137"/>
      <c r="Z170" s="114"/>
      <c r="AA170" s="62"/>
      <c r="AB170" s="62"/>
      <c r="AC170" s="62"/>
      <c r="AD170" s="98"/>
      <c r="AE170" s="99"/>
      <c r="AF170" s="98"/>
      <c r="AG170" s="100"/>
      <c r="AH170" s="63"/>
      <c r="AI170" s="101"/>
      <c r="AJ170" s="64"/>
      <c r="AK170" s="62"/>
      <c r="AL170" s="62"/>
      <c r="AM170" s="62"/>
      <c r="AN170" s="108"/>
      <c r="AO170" s="64"/>
      <c r="AP170" s="64"/>
      <c r="AQ170" s="97"/>
      <c r="AR170" s="135"/>
      <c r="AS170" s="64"/>
    </row>
    <row r="171" spans="1:45" ht="13.5" customHeight="1">
      <c r="A171" s="62"/>
      <c r="B171" s="62"/>
      <c r="C171" s="62"/>
      <c r="D171" s="97"/>
      <c r="E171" s="62"/>
      <c r="F171" s="62"/>
      <c r="G171" s="62"/>
      <c r="H171" s="62"/>
      <c r="I171" s="64"/>
      <c r="J171" s="62"/>
      <c r="K171" s="62"/>
      <c r="L171" s="62"/>
      <c r="M171" s="229"/>
      <c r="N171" s="114"/>
      <c r="O171" s="62"/>
      <c r="P171" s="62"/>
      <c r="Q171" s="62"/>
      <c r="R171" s="62"/>
      <c r="S171" s="62"/>
      <c r="T171" s="62"/>
      <c r="U171" s="62"/>
      <c r="V171" s="97"/>
      <c r="W171" s="62"/>
      <c r="X171" s="62"/>
      <c r="Y171" s="62"/>
      <c r="Z171" s="114"/>
      <c r="AA171" s="62"/>
      <c r="AB171" s="62"/>
      <c r="AC171" s="62"/>
      <c r="AD171" s="98"/>
      <c r="AE171" s="99"/>
      <c r="AF171" s="98"/>
      <c r="AG171" s="100"/>
      <c r="AH171" s="63"/>
      <c r="AI171" s="101"/>
      <c r="AJ171" s="64"/>
      <c r="AK171" s="62"/>
      <c r="AL171" s="62"/>
      <c r="AM171" s="62"/>
      <c r="AN171" s="108"/>
      <c r="AO171" s="64"/>
      <c r="AP171" s="64"/>
      <c r="AQ171" s="97"/>
      <c r="AR171" s="63"/>
      <c r="AS171" s="64"/>
    </row>
    <row r="172" spans="1:45" ht="13.5" customHeight="1">
      <c r="A172" s="62"/>
      <c r="B172" s="62"/>
      <c r="C172" s="62"/>
      <c r="D172" s="97"/>
      <c r="E172" s="62"/>
      <c r="F172" s="62"/>
      <c r="G172" s="62"/>
      <c r="H172" s="62"/>
      <c r="I172" s="138"/>
      <c r="J172" s="62"/>
      <c r="K172" s="62"/>
      <c r="L172" s="62"/>
      <c r="M172" s="230"/>
      <c r="N172" s="114"/>
      <c r="O172" s="62"/>
      <c r="P172" s="62"/>
      <c r="Q172" s="62"/>
      <c r="R172" s="62"/>
      <c r="S172" s="62"/>
      <c r="T172" s="62"/>
      <c r="U172" s="62"/>
      <c r="V172" s="97"/>
      <c r="W172" s="62"/>
      <c r="X172" s="62"/>
      <c r="Y172" s="62"/>
      <c r="Z172" s="114"/>
      <c r="AA172" s="62"/>
      <c r="AB172" s="62"/>
      <c r="AC172" s="62"/>
      <c r="AD172" s="98"/>
      <c r="AE172" s="99"/>
      <c r="AF172" s="98"/>
      <c r="AG172" s="100"/>
      <c r="AH172" s="63"/>
      <c r="AI172" s="101"/>
      <c r="AJ172" s="64"/>
      <c r="AK172" s="62"/>
      <c r="AL172" s="62"/>
      <c r="AM172" s="62"/>
      <c r="AN172" s="62"/>
      <c r="AO172" s="64"/>
      <c r="AP172" s="64"/>
      <c r="AQ172" s="97"/>
      <c r="AR172" s="63"/>
      <c r="AS172" s="64"/>
    </row>
    <row r="173" spans="1:45" ht="13.5" customHeight="1">
      <c r="A173" s="62"/>
      <c r="B173" s="62"/>
      <c r="C173" s="62"/>
      <c r="D173" s="97"/>
      <c r="E173" s="62"/>
      <c r="F173" s="62"/>
      <c r="G173" s="62"/>
      <c r="H173" s="62"/>
      <c r="I173" s="138"/>
      <c r="J173" s="62"/>
      <c r="K173" s="62"/>
      <c r="L173" s="62"/>
      <c r="M173" s="230"/>
      <c r="N173" s="114"/>
      <c r="O173" s="62"/>
      <c r="P173" s="62"/>
      <c r="Q173" s="62"/>
      <c r="R173" s="62"/>
      <c r="S173" s="62"/>
      <c r="T173" s="62"/>
      <c r="U173" s="62"/>
      <c r="V173" s="97"/>
      <c r="W173" s="62"/>
      <c r="X173" s="62"/>
      <c r="Y173" s="62"/>
      <c r="Z173" s="114"/>
      <c r="AA173" s="62"/>
      <c r="AB173" s="62"/>
      <c r="AC173" s="62"/>
      <c r="AD173" s="98"/>
      <c r="AE173" s="99"/>
      <c r="AF173" s="98"/>
      <c r="AG173" s="100"/>
      <c r="AH173" s="63"/>
      <c r="AI173" s="64"/>
      <c r="AJ173" s="64"/>
      <c r="AK173" s="62"/>
      <c r="AL173" s="62"/>
      <c r="AM173" s="62"/>
      <c r="AN173" s="108"/>
      <c r="AO173" s="64"/>
      <c r="AP173" s="64"/>
      <c r="AQ173" s="97"/>
      <c r="AR173" s="63"/>
      <c r="AS173" s="64"/>
    </row>
    <row r="174" spans="1:45" ht="13.5" customHeight="1">
      <c r="A174" s="62"/>
      <c r="B174" s="62"/>
      <c r="C174" s="62"/>
      <c r="D174" s="97"/>
      <c r="E174" s="62"/>
      <c r="F174" s="62"/>
      <c r="G174" s="62"/>
      <c r="H174" s="62"/>
      <c r="I174" s="64"/>
      <c r="J174" s="62"/>
      <c r="K174" s="62"/>
      <c r="L174" s="62"/>
      <c r="M174" s="114"/>
      <c r="N174" s="114"/>
      <c r="O174" s="62"/>
      <c r="P174" s="62"/>
      <c r="Q174" s="62"/>
      <c r="R174" s="62"/>
      <c r="S174" s="62"/>
      <c r="T174" s="62"/>
      <c r="U174" s="62"/>
      <c r="V174" s="97"/>
      <c r="W174" s="62"/>
      <c r="X174" s="62"/>
      <c r="Y174" s="62"/>
      <c r="Z174" s="114"/>
      <c r="AA174" s="62"/>
      <c r="AB174" s="62"/>
      <c r="AC174" s="62"/>
      <c r="AD174" s="98"/>
      <c r="AE174" s="99"/>
      <c r="AF174" s="98"/>
      <c r="AG174" s="100"/>
      <c r="AH174" s="63"/>
      <c r="AI174" s="64"/>
      <c r="AJ174" s="64"/>
      <c r="AK174" s="62"/>
      <c r="AL174" s="62"/>
      <c r="AM174" s="62"/>
      <c r="AN174" s="108"/>
      <c r="AO174" s="64"/>
      <c r="AP174" s="64"/>
      <c r="AQ174" s="97"/>
      <c r="AR174" s="63"/>
      <c r="AS174" s="64"/>
    </row>
    <row r="175" spans="1:45" ht="13.5" customHeight="1">
      <c r="A175" s="62"/>
      <c r="B175" s="62"/>
      <c r="C175" s="62"/>
      <c r="D175" s="97"/>
      <c r="E175" s="62"/>
      <c r="F175" s="62"/>
      <c r="G175" s="62"/>
      <c r="H175" s="62"/>
      <c r="I175" s="64"/>
      <c r="J175" s="62"/>
      <c r="K175" s="62"/>
      <c r="L175" s="62"/>
      <c r="M175" s="114"/>
      <c r="N175" s="114"/>
      <c r="O175" s="62"/>
      <c r="P175" s="62"/>
      <c r="Q175" s="62"/>
      <c r="R175" s="62"/>
      <c r="S175" s="62"/>
      <c r="T175" s="62"/>
      <c r="U175" s="62"/>
      <c r="V175" s="97"/>
      <c r="W175" s="62"/>
      <c r="X175" s="62"/>
      <c r="Y175" s="62"/>
      <c r="Z175" s="114"/>
      <c r="AA175" s="62"/>
      <c r="AB175" s="62"/>
      <c r="AC175" s="62"/>
      <c r="AD175" s="98"/>
      <c r="AE175" s="99"/>
      <c r="AF175" s="98"/>
      <c r="AG175" s="100"/>
      <c r="AH175" s="63"/>
      <c r="AI175" s="64"/>
      <c r="AJ175" s="64"/>
      <c r="AK175" s="62"/>
      <c r="AL175" s="62"/>
      <c r="AM175" s="62"/>
      <c r="AN175" s="108"/>
      <c r="AO175" s="64"/>
      <c r="AP175" s="64"/>
      <c r="AQ175" s="97"/>
      <c r="AR175" s="63"/>
      <c r="AS175" s="64"/>
    </row>
    <row r="176" spans="1:45" ht="13.5" customHeight="1">
      <c r="A176" s="62"/>
      <c r="B176" s="62"/>
      <c r="C176" s="62"/>
      <c r="D176" s="97"/>
      <c r="E176" s="62"/>
      <c r="F176" s="62"/>
      <c r="G176" s="62"/>
      <c r="H176" s="62"/>
      <c r="I176" s="64"/>
      <c r="J176" s="62"/>
      <c r="K176" s="62"/>
      <c r="L176" s="62"/>
      <c r="M176" s="114"/>
      <c r="N176" s="114"/>
      <c r="O176" s="62"/>
      <c r="P176" s="62"/>
      <c r="Q176" s="62"/>
      <c r="R176" s="62"/>
      <c r="S176" s="62"/>
      <c r="T176" s="62"/>
      <c r="U176" s="62"/>
      <c r="V176" s="97"/>
      <c r="W176" s="62"/>
      <c r="X176" s="62"/>
      <c r="Y176" s="62"/>
      <c r="Z176" s="114"/>
      <c r="AA176" s="62"/>
      <c r="AB176" s="62"/>
      <c r="AC176" s="62"/>
      <c r="AD176" s="98"/>
      <c r="AE176" s="99"/>
      <c r="AF176" s="98"/>
      <c r="AG176" s="100"/>
      <c r="AH176" s="63"/>
      <c r="AI176" s="64"/>
      <c r="AJ176" s="64"/>
      <c r="AK176" s="62"/>
      <c r="AL176" s="62"/>
      <c r="AM176" s="62"/>
      <c r="AN176" s="108"/>
      <c r="AO176" s="64"/>
      <c r="AP176" s="64"/>
      <c r="AQ176" s="62"/>
      <c r="AR176" s="63"/>
      <c r="AS176" s="64"/>
    </row>
    <row r="177" spans="1:50" ht="13.5" customHeight="1">
      <c r="A177" s="62"/>
      <c r="B177" s="62"/>
      <c r="C177" s="62"/>
      <c r="D177" s="97"/>
      <c r="E177" s="62"/>
      <c r="F177" s="62"/>
      <c r="G177" s="62"/>
      <c r="H177" s="62"/>
      <c r="I177" s="64"/>
      <c r="J177" s="62"/>
      <c r="K177" s="62"/>
      <c r="L177" s="62"/>
      <c r="M177" s="114"/>
      <c r="N177" s="114"/>
      <c r="O177" s="62"/>
      <c r="P177" s="62"/>
      <c r="Q177" s="62"/>
      <c r="R177" s="62"/>
      <c r="S177" s="62"/>
      <c r="T177" s="62"/>
      <c r="U177" s="62"/>
      <c r="V177" s="97"/>
      <c r="W177" s="62"/>
      <c r="X177" s="62"/>
      <c r="Y177" s="62"/>
      <c r="Z177" s="114"/>
      <c r="AA177" s="62"/>
      <c r="AB177" s="62"/>
      <c r="AC177" s="62"/>
      <c r="AD177" s="98"/>
      <c r="AE177" s="99"/>
      <c r="AF177" s="98"/>
      <c r="AG177" s="100"/>
      <c r="AH177" s="63"/>
      <c r="AI177" s="64"/>
      <c r="AJ177" s="64"/>
      <c r="AK177" s="62"/>
      <c r="AL177" s="62"/>
      <c r="AM177" s="62"/>
      <c r="AN177" s="108"/>
      <c r="AO177" s="64"/>
      <c r="AP177" s="64"/>
      <c r="AQ177" s="97"/>
      <c r="AR177" s="63"/>
      <c r="AS177" s="64"/>
    </row>
    <row r="178" spans="1:50" ht="13.5" customHeight="1">
      <c r="A178" s="62"/>
      <c r="B178" s="62"/>
      <c r="C178" s="62"/>
      <c r="D178" s="97"/>
      <c r="E178" s="62"/>
      <c r="F178" s="62"/>
      <c r="G178" s="62"/>
      <c r="H178" s="62"/>
      <c r="I178" s="64"/>
      <c r="J178" s="62"/>
      <c r="K178" s="62"/>
      <c r="L178" s="62"/>
      <c r="M178" s="114"/>
      <c r="N178" s="114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114"/>
      <c r="AA178" s="62"/>
      <c r="AB178" s="62"/>
      <c r="AC178" s="62"/>
      <c r="AD178" s="98"/>
      <c r="AE178" s="99"/>
      <c r="AF178" s="98"/>
      <c r="AG178" s="100"/>
      <c r="AH178" s="63"/>
      <c r="AI178" s="64"/>
      <c r="AJ178" s="64"/>
      <c r="AK178" s="62"/>
      <c r="AL178" s="62"/>
      <c r="AM178" s="62"/>
      <c r="AN178" s="108"/>
      <c r="AO178" s="64"/>
      <c r="AP178" s="64"/>
      <c r="AQ178" s="62"/>
      <c r="AR178" s="63"/>
      <c r="AS178" s="64"/>
    </row>
    <row r="179" spans="1:50" ht="13.5" customHeight="1">
      <c r="A179" s="62"/>
      <c r="B179" s="62"/>
      <c r="C179" s="62"/>
      <c r="D179" s="97"/>
      <c r="E179" s="62"/>
      <c r="F179" s="62"/>
      <c r="G179" s="62"/>
      <c r="H179" s="62"/>
      <c r="I179" s="64"/>
      <c r="J179" s="62"/>
      <c r="K179" s="62"/>
      <c r="L179" s="62"/>
      <c r="M179" s="114"/>
      <c r="N179" s="114"/>
      <c r="O179" s="62"/>
      <c r="P179" s="62"/>
      <c r="Q179" s="62"/>
      <c r="R179" s="62"/>
      <c r="S179" s="62"/>
      <c r="T179" s="62"/>
      <c r="U179" s="62"/>
      <c r="V179" s="97"/>
      <c r="W179" s="62"/>
      <c r="X179" s="62"/>
      <c r="Y179" s="62"/>
      <c r="Z179" s="114"/>
      <c r="AA179" s="62"/>
      <c r="AB179" s="62"/>
      <c r="AC179" s="62"/>
      <c r="AD179" s="98"/>
      <c r="AE179" s="99"/>
      <c r="AF179" s="98"/>
      <c r="AG179" s="100"/>
      <c r="AH179" s="63"/>
      <c r="AI179" s="64"/>
      <c r="AJ179" s="64"/>
      <c r="AK179" s="62"/>
      <c r="AL179" s="62"/>
      <c r="AM179" s="62"/>
      <c r="AN179" s="108"/>
      <c r="AO179" s="64"/>
      <c r="AP179" s="64"/>
      <c r="AQ179" s="97"/>
      <c r="AR179" s="63"/>
      <c r="AS179" s="64"/>
    </row>
    <row r="180" spans="1:50" ht="13.5" customHeight="1">
      <c r="A180" s="62"/>
      <c r="B180" s="62"/>
      <c r="C180" s="62"/>
      <c r="D180" s="97"/>
      <c r="E180" s="62"/>
      <c r="F180" s="62"/>
      <c r="G180" s="62"/>
      <c r="H180" s="62"/>
      <c r="I180" s="64"/>
      <c r="J180" s="62"/>
      <c r="K180" s="62"/>
      <c r="L180" s="62"/>
      <c r="M180" s="114"/>
      <c r="N180" s="114"/>
      <c r="O180" s="62"/>
      <c r="P180" s="62"/>
      <c r="Q180" s="62"/>
      <c r="R180" s="62"/>
      <c r="S180" s="62"/>
      <c r="T180" s="62"/>
      <c r="U180" s="62"/>
      <c r="V180" s="97"/>
      <c r="W180" s="62"/>
      <c r="X180" s="62"/>
      <c r="Y180" s="62"/>
      <c r="Z180" s="114"/>
      <c r="AA180" s="62"/>
      <c r="AB180" s="62"/>
      <c r="AC180" s="62"/>
      <c r="AD180" s="98"/>
      <c r="AE180" s="99"/>
      <c r="AF180" s="98"/>
      <c r="AG180" s="100"/>
      <c r="AH180" s="63"/>
      <c r="AI180" s="64"/>
      <c r="AJ180" s="64"/>
      <c r="AK180" s="62"/>
      <c r="AL180" s="62"/>
      <c r="AM180" s="62"/>
      <c r="AN180" s="108"/>
      <c r="AO180" s="64"/>
      <c r="AP180" s="64"/>
      <c r="AQ180" s="97"/>
      <c r="AR180" s="63"/>
      <c r="AS180" s="64"/>
    </row>
    <row r="181" spans="1:50" ht="13.5" customHeight="1">
      <c r="A181" s="62"/>
      <c r="B181" s="62"/>
      <c r="C181" s="62"/>
      <c r="D181" s="97"/>
      <c r="E181" s="62"/>
      <c r="F181" s="62"/>
      <c r="G181" s="62"/>
      <c r="H181" s="62"/>
      <c r="I181" s="64"/>
      <c r="J181" s="62"/>
      <c r="K181" s="62"/>
      <c r="L181" s="62"/>
      <c r="M181" s="114"/>
      <c r="N181" s="114"/>
      <c r="O181" s="62"/>
      <c r="P181" s="62"/>
      <c r="Q181" s="62"/>
      <c r="R181" s="62"/>
      <c r="S181" s="62"/>
      <c r="T181" s="62"/>
      <c r="U181" s="62"/>
      <c r="V181" s="97"/>
      <c r="W181" s="62"/>
      <c r="X181" s="62"/>
      <c r="Y181" s="62"/>
      <c r="Z181" s="114"/>
      <c r="AA181" s="62"/>
      <c r="AB181" s="62"/>
      <c r="AC181" s="62"/>
      <c r="AD181" s="98"/>
      <c r="AE181" s="99"/>
      <c r="AF181" s="98"/>
      <c r="AG181" s="100"/>
      <c r="AH181" s="63"/>
      <c r="AI181" s="64"/>
      <c r="AJ181" s="64"/>
      <c r="AK181" s="62"/>
      <c r="AL181" s="62"/>
      <c r="AM181" s="62"/>
      <c r="AN181" s="108"/>
      <c r="AO181" s="64"/>
      <c r="AP181" s="64"/>
      <c r="AQ181" s="97"/>
      <c r="AR181" s="63"/>
      <c r="AS181" s="64"/>
    </row>
    <row r="182" spans="1:50" ht="13.5" customHeight="1">
      <c r="A182" s="62"/>
      <c r="B182" s="62"/>
      <c r="C182" s="62"/>
      <c r="D182" s="97"/>
      <c r="E182" s="62"/>
      <c r="F182" s="62"/>
      <c r="G182" s="62"/>
      <c r="H182" s="62"/>
      <c r="I182" s="64"/>
      <c r="J182" s="62"/>
      <c r="K182" s="62"/>
      <c r="L182" s="62"/>
      <c r="M182" s="114"/>
      <c r="N182" s="114"/>
      <c r="O182" s="62"/>
      <c r="P182" s="62"/>
      <c r="Q182" s="62"/>
      <c r="R182" s="62"/>
      <c r="S182" s="62"/>
      <c r="T182" s="62"/>
      <c r="U182" s="62"/>
      <c r="V182" s="97"/>
      <c r="W182" s="62"/>
      <c r="X182" s="62"/>
      <c r="Y182" s="62"/>
      <c r="Z182" s="114"/>
      <c r="AA182" s="62"/>
      <c r="AB182" s="62"/>
      <c r="AC182" s="62"/>
      <c r="AD182" s="98"/>
      <c r="AE182" s="99"/>
      <c r="AF182" s="98"/>
      <c r="AG182" s="100"/>
      <c r="AH182" s="63"/>
      <c r="AI182" s="64"/>
      <c r="AJ182" s="64"/>
      <c r="AK182" s="62"/>
      <c r="AL182" s="62"/>
      <c r="AM182" s="62"/>
      <c r="AN182" s="108"/>
      <c r="AO182" s="64"/>
      <c r="AP182" s="64"/>
      <c r="AQ182" s="97"/>
      <c r="AR182" s="63"/>
      <c r="AS182" s="64"/>
    </row>
    <row r="183" spans="1:50" ht="13.5" customHeight="1">
      <c r="A183" s="62"/>
      <c r="B183" s="62"/>
      <c r="C183" s="62"/>
      <c r="D183" s="97"/>
      <c r="E183" s="62"/>
      <c r="F183" s="62"/>
      <c r="G183" s="62"/>
      <c r="H183" s="62"/>
      <c r="I183" s="64"/>
      <c r="J183" s="62"/>
      <c r="K183" s="62"/>
      <c r="L183" s="62"/>
      <c r="M183" s="114"/>
      <c r="N183" s="114"/>
      <c r="O183" s="62"/>
      <c r="P183" s="62"/>
      <c r="Q183" s="62"/>
      <c r="R183" s="62"/>
      <c r="S183" s="62"/>
      <c r="T183" s="62"/>
      <c r="U183" s="62"/>
      <c r="V183" s="97"/>
      <c r="W183" s="62"/>
      <c r="X183" s="62"/>
      <c r="Y183" s="62"/>
      <c r="Z183" s="114"/>
      <c r="AA183" s="62"/>
      <c r="AB183" s="62"/>
      <c r="AC183" s="62"/>
      <c r="AD183" s="98"/>
      <c r="AE183" s="99"/>
      <c r="AF183" s="98"/>
      <c r="AG183" s="100"/>
      <c r="AH183" s="63"/>
      <c r="AI183" s="64"/>
      <c r="AJ183" s="64"/>
      <c r="AK183" s="62"/>
      <c r="AL183" s="62"/>
      <c r="AM183" s="62"/>
      <c r="AN183" s="62"/>
      <c r="AO183" s="64"/>
      <c r="AP183" s="64"/>
      <c r="AQ183" s="97"/>
      <c r="AR183" s="63"/>
      <c r="AS183" s="64"/>
    </row>
    <row r="184" spans="1:50" ht="13.5" customHeight="1">
      <c r="C184" s="62"/>
      <c r="I184" s="64"/>
      <c r="M184" s="114"/>
      <c r="N184" s="114"/>
      <c r="U184" s="62"/>
      <c r="Z184" s="114"/>
      <c r="AB184" s="62"/>
      <c r="AC184" s="62"/>
      <c r="AD184" s="98"/>
      <c r="AE184" s="99"/>
      <c r="AF184" s="98"/>
      <c r="AG184" s="100"/>
      <c r="AH184" s="63"/>
      <c r="AI184" s="64"/>
      <c r="AJ184" s="64"/>
      <c r="AK184" s="62"/>
      <c r="AL184" s="62"/>
      <c r="AO184" s="64"/>
      <c r="AP184" s="64"/>
      <c r="AR184" s="63"/>
      <c r="AS184" s="64"/>
      <c r="AT184" s="103"/>
      <c r="AU184" s="103"/>
      <c r="AV184" s="103"/>
      <c r="AW184" s="103"/>
      <c r="AX184" s="103"/>
    </row>
    <row r="185" spans="1:50" ht="16.5" customHeight="1">
      <c r="C185" s="62"/>
      <c r="D185" s="97"/>
      <c r="I185" s="64"/>
      <c r="M185" s="114"/>
      <c r="N185" s="114"/>
      <c r="O185" s="62"/>
      <c r="Q185" s="62"/>
      <c r="R185" s="62"/>
      <c r="S185" s="62"/>
      <c r="T185" s="62"/>
      <c r="U185" s="62"/>
      <c r="V185" s="97"/>
      <c r="W185" s="62"/>
      <c r="X185" s="62"/>
      <c r="Y185" s="62"/>
      <c r="Z185" s="114"/>
      <c r="AB185" s="62"/>
      <c r="AC185" s="62"/>
      <c r="AD185" s="98"/>
      <c r="AE185" s="99"/>
      <c r="AF185" s="98"/>
      <c r="AG185" s="100"/>
      <c r="AH185" s="63"/>
      <c r="AI185" s="64"/>
      <c r="AJ185" s="64"/>
      <c r="AK185" s="62"/>
      <c r="AL185" s="62"/>
      <c r="AM185" s="62"/>
      <c r="AN185" s="62"/>
      <c r="AO185" s="64"/>
      <c r="AP185" s="64"/>
      <c r="AQ185" s="97"/>
      <c r="AR185" s="63"/>
      <c r="AS185" s="64"/>
      <c r="AT185" s="103"/>
      <c r="AU185" s="103"/>
      <c r="AV185" s="103"/>
      <c r="AW185" s="103"/>
      <c r="AX185" s="103"/>
    </row>
    <row r="186" spans="1:50" ht="13.5" customHeight="1">
      <c r="A186" s="62"/>
      <c r="B186" s="62"/>
      <c r="C186" s="62"/>
      <c r="D186" s="97"/>
      <c r="E186" s="62"/>
      <c r="F186" s="62"/>
      <c r="G186" s="62"/>
      <c r="H186" s="62"/>
      <c r="I186" s="64"/>
      <c r="J186" s="62"/>
      <c r="K186" s="62"/>
      <c r="L186" s="62"/>
      <c r="M186" s="114"/>
      <c r="N186" s="114"/>
      <c r="O186" s="62"/>
      <c r="P186" s="62"/>
      <c r="Q186" s="62"/>
      <c r="R186" s="62"/>
      <c r="S186" s="62"/>
      <c r="T186" s="62"/>
      <c r="U186" s="62"/>
      <c r="V186" s="97"/>
      <c r="W186" s="62"/>
      <c r="X186" s="62"/>
      <c r="Y186" s="62"/>
      <c r="Z186" s="114"/>
      <c r="AA186" s="62"/>
      <c r="AB186" s="62"/>
      <c r="AC186" s="62"/>
      <c r="AD186" s="98"/>
      <c r="AE186" s="99"/>
      <c r="AF186" s="98"/>
      <c r="AG186" s="100"/>
      <c r="AH186" s="63"/>
      <c r="AI186" s="64"/>
      <c r="AJ186" s="64"/>
      <c r="AK186" s="62"/>
      <c r="AL186" s="62"/>
      <c r="AM186" s="62"/>
      <c r="AN186" s="108"/>
      <c r="AO186" s="64"/>
      <c r="AP186" s="64"/>
      <c r="AQ186" s="97"/>
      <c r="AR186" s="63"/>
      <c r="AS186" s="64"/>
    </row>
    <row r="187" spans="1:50" ht="13.5" customHeight="1">
      <c r="A187" s="62"/>
      <c r="B187" s="62"/>
      <c r="C187" s="62"/>
      <c r="D187" s="97"/>
      <c r="E187" s="62"/>
      <c r="F187" s="62"/>
      <c r="G187" s="62"/>
      <c r="H187" s="103"/>
      <c r="I187" s="139"/>
      <c r="J187" s="62"/>
      <c r="K187" s="62"/>
      <c r="L187" s="62"/>
      <c r="M187" s="114"/>
      <c r="N187" s="114"/>
      <c r="O187" s="62"/>
      <c r="P187" s="137"/>
      <c r="Q187" s="62"/>
      <c r="R187" s="62"/>
      <c r="S187" s="62"/>
      <c r="T187" s="62"/>
      <c r="U187" s="62"/>
      <c r="V187" s="62"/>
      <c r="W187" s="62"/>
      <c r="X187" s="62"/>
      <c r="Y187" s="62"/>
      <c r="Z187" s="114"/>
      <c r="AA187" s="62"/>
      <c r="AB187" s="62"/>
      <c r="AC187" s="62"/>
      <c r="AD187" s="98"/>
      <c r="AE187" s="99"/>
      <c r="AF187" s="98"/>
      <c r="AG187" s="100"/>
      <c r="AH187" s="63"/>
      <c r="AI187" s="64"/>
      <c r="AJ187" s="64"/>
      <c r="AK187" s="62"/>
      <c r="AL187" s="62"/>
      <c r="AM187" s="62"/>
      <c r="AN187" s="108"/>
      <c r="AO187" s="64"/>
      <c r="AP187" s="64"/>
      <c r="AQ187" s="62"/>
      <c r="AR187" s="63"/>
      <c r="AS187" s="64"/>
    </row>
    <row r="188" spans="1:50" ht="13.5" customHeight="1">
      <c r="A188" s="62"/>
      <c r="B188" s="62"/>
      <c r="C188" s="62"/>
      <c r="D188" s="97"/>
      <c r="E188" s="62"/>
      <c r="F188" s="62"/>
      <c r="G188" s="62"/>
      <c r="H188" s="62"/>
      <c r="I188" s="64"/>
      <c r="J188" s="62"/>
      <c r="K188" s="62"/>
      <c r="L188" s="62"/>
      <c r="M188" s="114"/>
      <c r="N188" s="114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114"/>
      <c r="AA188" s="62"/>
      <c r="AB188" s="62"/>
      <c r="AC188" s="62"/>
      <c r="AD188" s="98"/>
      <c r="AE188" s="99"/>
      <c r="AF188" s="98"/>
      <c r="AG188" s="100"/>
      <c r="AH188" s="63"/>
      <c r="AI188" s="64"/>
      <c r="AJ188" s="64"/>
      <c r="AK188" s="62"/>
      <c r="AL188" s="62"/>
      <c r="AM188" s="62"/>
      <c r="AN188" s="108"/>
      <c r="AO188" s="64"/>
      <c r="AP188" s="64"/>
      <c r="AQ188" s="62"/>
      <c r="AR188" s="63"/>
      <c r="AS188" s="64"/>
    </row>
    <row r="189" spans="1:50" ht="13.5" customHeight="1">
      <c r="A189" s="62"/>
      <c r="B189" s="62"/>
      <c r="C189" s="62"/>
      <c r="D189" s="97"/>
      <c r="E189" s="62"/>
      <c r="F189" s="62"/>
      <c r="G189" s="62"/>
      <c r="H189" s="62"/>
      <c r="I189" s="64"/>
      <c r="J189" s="62"/>
      <c r="K189" s="62"/>
      <c r="L189" s="137"/>
      <c r="M189" s="114"/>
      <c r="N189" s="114"/>
      <c r="O189" s="62"/>
      <c r="P189" s="62"/>
      <c r="Q189" s="62"/>
      <c r="R189" s="62"/>
      <c r="S189" s="62"/>
      <c r="T189" s="62"/>
      <c r="U189" s="62"/>
      <c r="V189" s="97"/>
      <c r="W189" s="62"/>
      <c r="X189" s="62"/>
      <c r="Y189" s="62"/>
      <c r="Z189" s="114"/>
      <c r="AA189" s="62"/>
      <c r="AB189" s="62"/>
      <c r="AC189" s="62"/>
      <c r="AD189" s="98"/>
      <c r="AE189" s="99"/>
      <c r="AF189" s="98"/>
      <c r="AG189" s="100"/>
      <c r="AH189" s="63"/>
      <c r="AI189" s="64"/>
      <c r="AJ189" s="64"/>
      <c r="AK189" s="62"/>
      <c r="AL189" s="62"/>
      <c r="AM189" s="62"/>
      <c r="AN189" s="62"/>
      <c r="AO189" s="64"/>
      <c r="AP189" s="64"/>
      <c r="AQ189" s="97"/>
      <c r="AR189" s="63"/>
      <c r="AS189" s="64"/>
    </row>
    <row r="190" spans="1:50" ht="13.5" customHeight="1">
      <c r="A190" s="62"/>
      <c r="B190" s="62"/>
      <c r="C190" s="62"/>
      <c r="D190" s="97"/>
      <c r="E190" s="62"/>
      <c r="F190" s="62"/>
      <c r="G190" s="62"/>
      <c r="H190" s="62"/>
      <c r="I190" s="64"/>
      <c r="J190" s="62"/>
      <c r="K190" s="62"/>
      <c r="L190" s="62"/>
      <c r="M190" s="114"/>
      <c r="N190" s="114"/>
      <c r="O190" s="62"/>
      <c r="P190" s="62"/>
      <c r="Q190" s="62"/>
      <c r="R190" s="62"/>
      <c r="S190" s="62"/>
      <c r="T190" s="62"/>
      <c r="U190" s="62"/>
      <c r="V190" s="97"/>
      <c r="W190" s="62"/>
      <c r="X190" s="62"/>
      <c r="Y190" s="62"/>
      <c r="Z190" s="114"/>
      <c r="AA190" s="62"/>
      <c r="AB190" s="62"/>
      <c r="AC190" s="62"/>
      <c r="AD190" s="98"/>
      <c r="AE190" s="99"/>
      <c r="AF190" s="98"/>
      <c r="AG190" s="100"/>
      <c r="AH190" s="63"/>
      <c r="AI190" s="64"/>
      <c r="AJ190" s="64"/>
      <c r="AK190" s="62"/>
      <c r="AL190" s="62"/>
      <c r="AM190" s="62"/>
      <c r="AN190" s="62"/>
      <c r="AO190" s="64"/>
      <c r="AP190" s="64"/>
      <c r="AQ190" s="97"/>
      <c r="AR190" s="63"/>
      <c r="AS190" s="64"/>
    </row>
    <row r="191" spans="1:50" ht="13.5" customHeight="1">
      <c r="A191" s="62"/>
      <c r="B191" s="62"/>
      <c r="C191" s="62"/>
      <c r="D191" s="97"/>
      <c r="E191" s="62"/>
      <c r="F191" s="62"/>
      <c r="G191" s="62"/>
      <c r="H191" s="62"/>
      <c r="I191" s="64"/>
      <c r="J191" s="62"/>
      <c r="K191" s="62"/>
      <c r="L191" s="62"/>
      <c r="M191" s="114"/>
      <c r="N191" s="114"/>
      <c r="O191" s="62"/>
      <c r="P191" s="62"/>
      <c r="Q191" s="62"/>
      <c r="R191" s="62"/>
      <c r="S191" s="62"/>
      <c r="T191" s="62"/>
      <c r="U191" s="62"/>
      <c r="V191" s="97"/>
      <c r="W191" s="62"/>
      <c r="X191" s="62"/>
      <c r="Y191" s="62"/>
      <c r="Z191" s="114"/>
      <c r="AA191" s="62"/>
      <c r="AB191" s="62"/>
      <c r="AC191" s="62"/>
      <c r="AD191" s="98"/>
      <c r="AE191" s="99"/>
      <c r="AF191" s="98"/>
      <c r="AG191" s="100"/>
      <c r="AH191" s="63"/>
      <c r="AI191" s="64"/>
      <c r="AJ191" s="64"/>
      <c r="AK191" s="62"/>
      <c r="AL191" s="62"/>
      <c r="AM191" s="62"/>
      <c r="AN191" s="108"/>
      <c r="AO191" s="64"/>
      <c r="AP191" s="64"/>
      <c r="AQ191" s="97"/>
      <c r="AR191" s="63"/>
      <c r="AS191" s="64"/>
    </row>
    <row r="192" spans="1:50" ht="13.5" customHeight="1">
      <c r="A192" s="62"/>
      <c r="B192" s="62"/>
      <c r="C192" s="62"/>
      <c r="D192" s="97"/>
      <c r="E192" s="62"/>
      <c r="F192" s="62"/>
      <c r="G192" s="62"/>
      <c r="H192" s="62"/>
      <c r="I192" s="64"/>
      <c r="J192" s="62"/>
      <c r="K192" s="62"/>
      <c r="L192" s="62"/>
      <c r="M192" s="231"/>
      <c r="N192" s="114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114"/>
      <c r="AA192" s="62"/>
      <c r="AB192" s="62"/>
      <c r="AC192" s="62"/>
      <c r="AD192" s="98"/>
      <c r="AE192" s="99"/>
      <c r="AF192" s="98"/>
      <c r="AG192" s="100"/>
      <c r="AH192" s="63"/>
      <c r="AI192" s="64"/>
      <c r="AJ192" s="64"/>
      <c r="AK192" s="62"/>
      <c r="AL192" s="62"/>
      <c r="AM192" s="62"/>
      <c r="AN192" s="108"/>
      <c r="AO192" s="64"/>
      <c r="AP192" s="64"/>
      <c r="AQ192" s="62"/>
      <c r="AR192" s="63"/>
      <c r="AS192" s="64"/>
    </row>
    <row r="193" spans="1:50" ht="13.5" customHeight="1">
      <c r="C193" s="62"/>
      <c r="D193" s="97"/>
      <c r="I193" s="64"/>
      <c r="M193" s="114"/>
      <c r="N193" s="114"/>
      <c r="U193" s="62"/>
      <c r="Z193" s="114"/>
      <c r="AB193" s="62"/>
      <c r="AC193" s="62"/>
      <c r="AD193" s="98"/>
      <c r="AE193" s="99"/>
      <c r="AF193" s="98"/>
      <c r="AG193" s="100"/>
      <c r="AH193" s="63"/>
      <c r="AI193" s="64"/>
      <c r="AJ193" s="64"/>
      <c r="AK193" s="62"/>
      <c r="AL193" s="62"/>
      <c r="AO193" s="64"/>
      <c r="AP193" s="64"/>
      <c r="AR193" s="63"/>
      <c r="AS193" s="64"/>
      <c r="AT193" s="103"/>
      <c r="AU193" s="103"/>
      <c r="AV193" s="103"/>
      <c r="AW193" s="103"/>
      <c r="AX193" s="103"/>
    </row>
    <row r="194" spans="1:50" ht="13.5" customHeight="1">
      <c r="A194" s="62"/>
      <c r="B194" s="62"/>
      <c r="C194" s="62"/>
      <c r="D194" s="97"/>
      <c r="E194" s="62"/>
      <c r="F194" s="62"/>
      <c r="G194" s="62"/>
      <c r="H194" s="62"/>
      <c r="I194" s="64"/>
      <c r="J194" s="62"/>
      <c r="K194" s="62"/>
      <c r="L194" s="62"/>
      <c r="M194" s="114"/>
      <c r="N194" s="114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114"/>
      <c r="AA194" s="62"/>
      <c r="AB194" s="62"/>
      <c r="AC194" s="62"/>
      <c r="AD194" s="98"/>
      <c r="AE194" s="99"/>
      <c r="AF194" s="98"/>
      <c r="AG194" s="100"/>
      <c r="AH194" s="63"/>
      <c r="AI194" s="64"/>
      <c r="AJ194" s="64"/>
      <c r="AK194" s="62"/>
      <c r="AL194" s="62"/>
      <c r="AM194" s="62"/>
      <c r="AN194" s="108"/>
      <c r="AO194" s="64"/>
      <c r="AP194" s="64"/>
      <c r="AQ194" s="62"/>
      <c r="AR194" s="63"/>
      <c r="AS194" s="64"/>
    </row>
    <row r="195" spans="1:50" ht="13.5" customHeight="1">
      <c r="A195" s="62"/>
      <c r="B195" s="62"/>
      <c r="C195" s="62"/>
      <c r="D195" s="97"/>
      <c r="E195" s="62"/>
      <c r="F195" s="62"/>
      <c r="G195" s="62"/>
      <c r="H195" s="62"/>
      <c r="I195" s="64"/>
      <c r="J195" s="62"/>
      <c r="K195" s="62"/>
      <c r="L195" s="62"/>
      <c r="M195" s="114"/>
      <c r="N195" s="114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114"/>
      <c r="AA195" s="62"/>
      <c r="AB195" s="62"/>
      <c r="AC195" s="62"/>
      <c r="AD195" s="98"/>
      <c r="AE195" s="99"/>
      <c r="AF195" s="98"/>
      <c r="AG195" s="100"/>
      <c r="AH195" s="63"/>
      <c r="AI195" s="64"/>
      <c r="AJ195" s="64"/>
      <c r="AK195" s="62"/>
      <c r="AL195" s="62"/>
      <c r="AM195" s="62"/>
      <c r="AN195" s="108"/>
      <c r="AO195" s="64"/>
      <c r="AP195" s="64"/>
      <c r="AQ195" s="62"/>
      <c r="AR195" s="63"/>
      <c r="AS195" s="64"/>
    </row>
    <row r="196" spans="1:50" ht="13.5" customHeight="1">
      <c r="A196" s="5"/>
      <c r="B196" s="5"/>
      <c r="C196" s="5"/>
      <c r="D196" s="2"/>
      <c r="E196" s="5"/>
      <c r="F196" s="5"/>
      <c r="G196" s="5"/>
      <c r="H196" s="5"/>
      <c r="I196" s="65"/>
      <c r="J196" s="5"/>
      <c r="K196" s="5"/>
      <c r="L196" s="5"/>
      <c r="M196" s="165"/>
      <c r="N196" s="165"/>
      <c r="O196" s="5"/>
      <c r="P196" s="5"/>
      <c r="Q196" s="5"/>
      <c r="R196" s="5"/>
      <c r="S196" s="5"/>
      <c r="T196" s="5"/>
      <c r="U196" s="62"/>
      <c r="V196" s="5"/>
      <c r="W196" s="5"/>
      <c r="X196" s="62"/>
      <c r="Y196" s="5"/>
      <c r="Z196" s="165"/>
      <c r="AA196" s="5"/>
      <c r="AB196" s="62"/>
      <c r="AC196" s="62">
        <f t="shared" ref="AC196:AC232" si="35">(V196-D196)+1</f>
        <v>1</v>
      </c>
      <c r="AD196" s="66"/>
      <c r="AE196" s="99">
        <f t="shared" ref="AE196:AE205" si="36">IFERROR(AD196*AC196,0)</f>
        <v>0</v>
      </c>
      <c r="AF196" s="98">
        <f t="shared" ref="AF196:AF232" si="37">AA196</f>
        <v>0</v>
      </c>
      <c r="AG196" s="100"/>
      <c r="AH196" s="63"/>
      <c r="AI196" s="64"/>
      <c r="AJ196" s="64"/>
      <c r="AK196" s="62" t="str">
        <f t="shared" ref="AK196:AK224" si="38">IF(E196="","",E196)</f>
        <v/>
      </c>
      <c r="AL196" s="62"/>
      <c r="AM196" s="5"/>
      <c r="AN196" s="71"/>
      <c r="AO196" s="64" t="s">
        <v>9</v>
      </c>
      <c r="AP196" s="64" t="s">
        <v>9</v>
      </c>
      <c r="AQ196" s="62"/>
      <c r="AR196" s="63"/>
      <c r="AS196" s="64">
        <f t="shared" ref="AS196:AS222" si="39">AJ196</f>
        <v>0</v>
      </c>
      <c r="AT196" s="103"/>
      <c r="AU196" s="103"/>
      <c r="AV196" s="103"/>
      <c r="AW196" s="103"/>
      <c r="AX196" s="103"/>
    </row>
    <row r="197" spans="1:50" ht="13.5" customHeight="1">
      <c r="A197" s="5"/>
      <c r="B197" s="5"/>
      <c r="C197" s="5"/>
      <c r="D197" s="2"/>
      <c r="E197" s="5"/>
      <c r="F197" s="5"/>
      <c r="G197" s="5"/>
      <c r="H197" s="5"/>
      <c r="I197" s="65"/>
      <c r="J197" s="5"/>
      <c r="K197" s="5"/>
      <c r="L197" s="5"/>
      <c r="M197" s="165"/>
      <c r="N197" s="165"/>
      <c r="O197" s="5"/>
      <c r="P197" s="5"/>
      <c r="Q197" s="5"/>
      <c r="R197" s="5"/>
      <c r="S197" s="5"/>
      <c r="T197" s="5"/>
      <c r="U197" s="62"/>
      <c r="V197" s="5"/>
      <c r="W197" s="5"/>
      <c r="X197" s="62"/>
      <c r="Y197" s="5"/>
      <c r="Z197" s="165"/>
      <c r="AA197" s="5"/>
      <c r="AB197" s="62"/>
      <c r="AC197" s="62">
        <f t="shared" si="35"/>
        <v>1</v>
      </c>
      <c r="AD197" s="66"/>
      <c r="AE197" s="99">
        <f t="shared" si="36"/>
        <v>0</v>
      </c>
      <c r="AF197" s="98">
        <f t="shared" si="37"/>
        <v>0</v>
      </c>
      <c r="AG197" s="100"/>
      <c r="AH197" s="63"/>
      <c r="AI197" s="64"/>
      <c r="AJ197" s="64"/>
      <c r="AK197" s="62" t="str">
        <f t="shared" si="38"/>
        <v/>
      </c>
      <c r="AL197" s="62"/>
      <c r="AM197" s="5"/>
      <c r="AN197" s="71"/>
      <c r="AO197" s="64" t="s">
        <v>796</v>
      </c>
      <c r="AP197" s="64" t="s">
        <v>797</v>
      </c>
      <c r="AQ197" s="62"/>
      <c r="AR197" s="63"/>
      <c r="AS197" s="64">
        <f t="shared" si="39"/>
        <v>0</v>
      </c>
      <c r="AT197" s="103"/>
      <c r="AU197" s="103"/>
      <c r="AV197" s="103"/>
      <c r="AW197" s="103"/>
      <c r="AX197" s="103"/>
    </row>
    <row r="198" spans="1:50" ht="13.5" customHeight="1">
      <c r="A198" s="5"/>
      <c r="B198" s="5"/>
      <c r="C198" s="5"/>
      <c r="D198" s="2"/>
      <c r="E198" s="5"/>
      <c r="F198" s="5"/>
      <c r="G198" s="5"/>
      <c r="H198" s="5"/>
      <c r="I198" s="65"/>
      <c r="J198" s="5"/>
      <c r="K198" s="5"/>
      <c r="L198" s="5"/>
      <c r="M198" s="165"/>
      <c r="N198" s="165"/>
      <c r="O198" s="5"/>
      <c r="P198" s="5"/>
      <c r="Q198" s="5"/>
      <c r="R198" s="5"/>
      <c r="S198" s="5"/>
      <c r="T198" s="5"/>
      <c r="U198" s="62"/>
      <c r="V198" s="5"/>
      <c r="W198" s="5"/>
      <c r="X198" s="62"/>
      <c r="Y198" s="5"/>
      <c r="Z198" s="165"/>
      <c r="AA198" s="5"/>
      <c r="AB198" s="62"/>
      <c r="AC198" s="62">
        <f t="shared" si="35"/>
        <v>1</v>
      </c>
      <c r="AD198" s="66"/>
      <c r="AE198" s="99">
        <f t="shared" si="36"/>
        <v>0</v>
      </c>
      <c r="AF198" s="98">
        <f t="shared" si="37"/>
        <v>0</v>
      </c>
      <c r="AG198" s="100"/>
      <c r="AH198" s="63"/>
      <c r="AI198" s="64"/>
      <c r="AJ198" s="64"/>
      <c r="AK198" s="62" t="str">
        <f t="shared" si="38"/>
        <v/>
      </c>
      <c r="AL198" s="62"/>
      <c r="AM198" s="5"/>
      <c r="AN198" s="71"/>
      <c r="AO198" s="64" t="s">
        <v>796</v>
      </c>
      <c r="AP198" s="64" t="s">
        <v>326</v>
      </c>
      <c r="AQ198" s="62"/>
      <c r="AR198" s="63"/>
      <c r="AS198" s="64">
        <f t="shared" si="39"/>
        <v>0</v>
      </c>
      <c r="AT198" s="103"/>
      <c r="AU198" s="103"/>
      <c r="AV198" s="103"/>
      <c r="AW198" s="103"/>
      <c r="AX198" s="103"/>
    </row>
    <row r="199" spans="1:50" ht="13.5" customHeight="1">
      <c r="A199" s="5"/>
      <c r="B199" s="5"/>
      <c r="C199" s="5"/>
      <c r="D199" s="2"/>
      <c r="E199" s="5"/>
      <c r="F199" s="5"/>
      <c r="G199" s="5"/>
      <c r="H199" s="5"/>
      <c r="I199" s="65"/>
      <c r="J199" s="5"/>
      <c r="K199" s="5"/>
      <c r="L199" s="5"/>
      <c r="M199" s="165"/>
      <c r="N199" s="165"/>
      <c r="O199" s="5"/>
      <c r="P199" s="5"/>
      <c r="Q199" s="5"/>
      <c r="R199" s="5"/>
      <c r="S199" s="5"/>
      <c r="T199" s="5"/>
      <c r="U199" s="62"/>
      <c r="V199" s="5"/>
      <c r="W199" s="5"/>
      <c r="X199" s="62"/>
      <c r="Y199" s="5"/>
      <c r="Z199" s="165"/>
      <c r="AA199" s="5"/>
      <c r="AB199" s="62"/>
      <c r="AC199" s="62">
        <f t="shared" si="35"/>
        <v>1</v>
      </c>
      <c r="AD199" s="66"/>
      <c r="AE199" s="99">
        <f t="shared" si="36"/>
        <v>0</v>
      </c>
      <c r="AF199" s="98">
        <f t="shared" si="37"/>
        <v>0</v>
      </c>
      <c r="AG199" s="100"/>
      <c r="AH199" s="63"/>
      <c r="AI199" s="64"/>
      <c r="AJ199" s="64"/>
      <c r="AK199" s="62" t="str">
        <f t="shared" si="38"/>
        <v/>
      </c>
      <c r="AL199" s="62"/>
      <c r="AM199" s="5"/>
      <c r="AN199" s="71"/>
      <c r="AO199" s="64" t="s">
        <v>9</v>
      </c>
      <c r="AP199" s="64" t="s">
        <v>9</v>
      </c>
      <c r="AQ199" s="62"/>
      <c r="AR199" s="63"/>
      <c r="AS199" s="64">
        <f t="shared" si="39"/>
        <v>0</v>
      </c>
      <c r="AT199" s="103"/>
      <c r="AU199" s="103"/>
      <c r="AV199" s="103"/>
      <c r="AW199" s="103"/>
      <c r="AX199" s="103"/>
    </row>
    <row r="200" spans="1:50" ht="13.5" customHeight="1">
      <c r="A200" s="5"/>
      <c r="B200" s="5"/>
      <c r="C200" s="5"/>
      <c r="D200" s="2"/>
      <c r="E200" s="5"/>
      <c r="F200" s="5"/>
      <c r="G200" s="5"/>
      <c r="H200" s="5"/>
      <c r="I200" s="65"/>
      <c r="J200" s="5"/>
      <c r="K200" s="5"/>
      <c r="L200" s="5"/>
      <c r="M200" s="165"/>
      <c r="N200" s="165"/>
      <c r="O200" s="5"/>
      <c r="P200" s="5"/>
      <c r="Q200" s="5"/>
      <c r="R200" s="5"/>
      <c r="S200" s="5"/>
      <c r="T200" s="5"/>
      <c r="U200" s="62"/>
      <c r="V200" s="5"/>
      <c r="W200" s="5"/>
      <c r="X200" s="62"/>
      <c r="Y200" s="5"/>
      <c r="Z200" s="165"/>
      <c r="AA200" s="5"/>
      <c r="AB200" s="62"/>
      <c r="AC200" s="62">
        <f t="shared" si="35"/>
        <v>1</v>
      </c>
      <c r="AD200" s="66"/>
      <c r="AE200" s="99">
        <f t="shared" si="36"/>
        <v>0</v>
      </c>
      <c r="AF200" s="98">
        <f t="shared" si="37"/>
        <v>0</v>
      </c>
      <c r="AG200" s="100"/>
      <c r="AH200" s="63"/>
      <c r="AI200" s="64"/>
      <c r="AJ200" s="64"/>
      <c r="AK200" s="62" t="str">
        <f t="shared" si="38"/>
        <v/>
      </c>
      <c r="AL200" s="62"/>
      <c r="AM200" s="5"/>
      <c r="AN200" s="71"/>
      <c r="AO200" s="64" t="s">
        <v>9</v>
      </c>
      <c r="AP200" s="64" t="s">
        <v>9</v>
      </c>
      <c r="AQ200" s="62"/>
      <c r="AR200" s="63"/>
      <c r="AS200" s="64">
        <f t="shared" si="39"/>
        <v>0</v>
      </c>
      <c r="AT200" s="103"/>
      <c r="AU200" s="103"/>
      <c r="AV200" s="103"/>
      <c r="AW200" s="103"/>
      <c r="AX200" s="103"/>
    </row>
    <row r="201" spans="1:50" ht="13.5" customHeight="1">
      <c r="A201" s="5"/>
      <c r="B201" s="5"/>
      <c r="C201" s="5"/>
      <c r="D201" s="2"/>
      <c r="E201" s="5"/>
      <c r="F201" s="5"/>
      <c r="G201" s="5"/>
      <c r="H201" s="5"/>
      <c r="I201" s="65"/>
      <c r="J201" s="5"/>
      <c r="K201" s="5"/>
      <c r="L201" s="5"/>
      <c r="M201" s="165"/>
      <c r="N201" s="165"/>
      <c r="O201" s="5"/>
      <c r="P201" s="5"/>
      <c r="Q201" s="5"/>
      <c r="R201" s="5"/>
      <c r="S201" s="5"/>
      <c r="T201" s="5"/>
      <c r="U201" s="62"/>
      <c r="V201" s="5"/>
      <c r="W201" s="5"/>
      <c r="X201" s="62"/>
      <c r="Y201" s="5"/>
      <c r="Z201" s="165"/>
      <c r="AA201" s="5"/>
      <c r="AB201" s="62"/>
      <c r="AC201" s="62">
        <f t="shared" si="35"/>
        <v>1</v>
      </c>
      <c r="AD201" s="66"/>
      <c r="AE201" s="99">
        <f t="shared" si="36"/>
        <v>0</v>
      </c>
      <c r="AF201" s="98">
        <f t="shared" si="37"/>
        <v>0</v>
      </c>
      <c r="AG201" s="100"/>
      <c r="AH201" s="63"/>
      <c r="AI201" s="64"/>
      <c r="AJ201" s="64"/>
      <c r="AK201" s="62" t="str">
        <f t="shared" si="38"/>
        <v/>
      </c>
      <c r="AL201" s="62"/>
      <c r="AM201" s="5"/>
      <c r="AN201" s="71"/>
      <c r="AO201" s="64" t="s">
        <v>798</v>
      </c>
      <c r="AP201" s="64" t="s">
        <v>326</v>
      </c>
      <c r="AQ201" s="62"/>
      <c r="AR201" s="63"/>
      <c r="AS201" s="64">
        <f t="shared" si="39"/>
        <v>0</v>
      </c>
      <c r="AT201" s="103"/>
      <c r="AU201" s="103"/>
      <c r="AV201" s="103"/>
      <c r="AW201" s="103"/>
      <c r="AX201" s="103"/>
    </row>
    <row r="202" spans="1:50" ht="13.5" customHeight="1">
      <c r="A202" s="5"/>
      <c r="B202" s="5"/>
      <c r="C202" s="5"/>
      <c r="D202" s="2"/>
      <c r="E202" s="5"/>
      <c r="F202" s="5"/>
      <c r="G202" s="5"/>
      <c r="H202" s="5"/>
      <c r="I202" s="65"/>
      <c r="J202" s="5"/>
      <c r="K202" s="5"/>
      <c r="L202" s="5"/>
      <c r="M202" s="165"/>
      <c r="N202" s="165"/>
      <c r="O202" s="5"/>
      <c r="P202" s="5"/>
      <c r="Q202" s="5"/>
      <c r="R202" s="5"/>
      <c r="S202" s="5"/>
      <c r="T202" s="5"/>
      <c r="U202" s="62"/>
      <c r="V202" s="5"/>
      <c r="W202" s="5"/>
      <c r="X202" s="62"/>
      <c r="Y202" s="5"/>
      <c r="Z202" s="165"/>
      <c r="AA202" s="5"/>
      <c r="AB202" s="62"/>
      <c r="AC202" s="62">
        <f t="shared" si="35"/>
        <v>1</v>
      </c>
      <c r="AD202" s="66"/>
      <c r="AE202" s="99">
        <f t="shared" si="36"/>
        <v>0</v>
      </c>
      <c r="AF202" s="98">
        <f t="shared" si="37"/>
        <v>0</v>
      </c>
      <c r="AG202" s="100"/>
      <c r="AH202" s="63"/>
      <c r="AI202" s="64"/>
      <c r="AJ202" s="64"/>
      <c r="AK202" s="62" t="str">
        <f t="shared" si="38"/>
        <v/>
      </c>
      <c r="AL202" s="62"/>
      <c r="AM202" s="5"/>
      <c r="AN202" s="71"/>
      <c r="AO202" s="64" t="s">
        <v>796</v>
      </c>
      <c r="AP202" s="64" t="s">
        <v>799</v>
      </c>
      <c r="AQ202" s="62"/>
      <c r="AR202" s="63"/>
      <c r="AS202" s="64">
        <f t="shared" si="39"/>
        <v>0</v>
      </c>
      <c r="AT202" s="103"/>
      <c r="AU202" s="103"/>
      <c r="AV202" s="103"/>
      <c r="AW202" s="103"/>
      <c r="AX202" s="103"/>
    </row>
    <row r="203" spans="1:50" ht="13.5" customHeight="1">
      <c r="A203" s="5"/>
      <c r="B203" s="5"/>
      <c r="C203" s="5"/>
      <c r="D203" s="2"/>
      <c r="E203" s="5"/>
      <c r="F203" s="5"/>
      <c r="G203" s="5"/>
      <c r="H203" s="5"/>
      <c r="I203" s="65"/>
      <c r="J203" s="5"/>
      <c r="K203" s="5"/>
      <c r="L203" s="5"/>
      <c r="M203" s="165"/>
      <c r="N203" s="165"/>
      <c r="O203" s="5"/>
      <c r="P203" s="5"/>
      <c r="Q203" s="5"/>
      <c r="R203" s="5"/>
      <c r="S203" s="5"/>
      <c r="T203" s="5"/>
      <c r="U203" s="62"/>
      <c r="V203" s="5"/>
      <c r="W203" s="5"/>
      <c r="X203" s="62"/>
      <c r="Y203" s="5"/>
      <c r="Z203" s="165"/>
      <c r="AA203" s="5"/>
      <c r="AB203" s="62"/>
      <c r="AC203" s="62">
        <f t="shared" si="35"/>
        <v>1</v>
      </c>
      <c r="AD203" s="66"/>
      <c r="AE203" s="99">
        <f t="shared" si="36"/>
        <v>0</v>
      </c>
      <c r="AF203" s="98">
        <f t="shared" si="37"/>
        <v>0</v>
      </c>
      <c r="AG203" s="100"/>
      <c r="AH203" s="63"/>
      <c r="AI203" s="64"/>
      <c r="AJ203" s="64"/>
      <c r="AK203" s="62" t="str">
        <f t="shared" si="38"/>
        <v/>
      </c>
      <c r="AL203" s="62"/>
      <c r="AM203" s="5"/>
      <c r="AN203" s="71"/>
      <c r="AO203" s="64" t="s">
        <v>9</v>
      </c>
      <c r="AP203" s="64" t="s">
        <v>9</v>
      </c>
      <c r="AQ203" s="62"/>
      <c r="AR203" s="63"/>
      <c r="AS203" s="64">
        <f t="shared" si="39"/>
        <v>0</v>
      </c>
      <c r="AT203" s="103"/>
      <c r="AU203" s="103"/>
      <c r="AV203" s="103"/>
      <c r="AW203" s="103"/>
      <c r="AX203" s="103"/>
    </row>
    <row r="204" spans="1:50" ht="13.5" customHeight="1">
      <c r="A204" s="5"/>
      <c r="B204" s="5"/>
      <c r="C204" s="5"/>
      <c r="D204" s="2"/>
      <c r="E204" s="5"/>
      <c r="F204" s="5"/>
      <c r="G204" s="5"/>
      <c r="H204" s="5"/>
      <c r="I204" s="65"/>
      <c r="J204" s="5"/>
      <c r="K204" s="5"/>
      <c r="L204" s="5"/>
      <c r="M204" s="165"/>
      <c r="N204" s="165"/>
      <c r="O204" s="5"/>
      <c r="P204" s="5"/>
      <c r="Q204" s="5"/>
      <c r="R204" s="5"/>
      <c r="S204" s="5"/>
      <c r="T204" s="5"/>
      <c r="U204" s="62"/>
      <c r="V204" s="5"/>
      <c r="W204" s="5"/>
      <c r="X204" s="62"/>
      <c r="Y204" s="5"/>
      <c r="Z204" s="165"/>
      <c r="AA204" s="5"/>
      <c r="AB204" s="62"/>
      <c r="AC204" s="62">
        <f t="shared" si="35"/>
        <v>1</v>
      </c>
      <c r="AD204" s="66"/>
      <c r="AE204" s="99">
        <f t="shared" si="36"/>
        <v>0</v>
      </c>
      <c r="AF204" s="98">
        <f t="shared" si="37"/>
        <v>0</v>
      </c>
      <c r="AG204" s="100"/>
      <c r="AH204" s="63"/>
      <c r="AI204" s="64"/>
      <c r="AJ204" s="64"/>
      <c r="AK204" s="62" t="str">
        <f t="shared" si="38"/>
        <v/>
      </c>
      <c r="AL204" s="62"/>
      <c r="AM204" s="5"/>
      <c r="AN204" s="71"/>
      <c r="AO204" s="64" t="s">
        <v>9</v>
      </c>
      <c r="AP204" s="64" t="s">
        <v>9</v>
      </c>
      <c r="AQ204" s="62"/>
      <c r="AR204" s="63"/>
      <c r="AS204" s="64">
        <f t="shared" si="39"/>
        <v>0</v>
      </c>
      <c r="AT204" s="103"/>
      <c r="AU204" s="103"/>
      <c r="AV204" s="103"/>
      <c r="AW204" s="103"/>
      <c r="AX204" s="103"/>
    </row>
    <row r="205" spans="1:50" ht="13.5" customHeight="1">
      <c r="A205" s="5"/>
      <c r="B205" s="5"/>
      <c r="C205" s="5"/>
      <c r="D205" s="2"/>
      <c r="E205" s="5"/>
      <c r="F205" s="5"/>
      <c r="G205" s="5"/>
      <c r="H205" s="5"/>
      <c r="I205" s="65"/>
      <c r="J205" s="5"/>
      <c r="K205" s="5"/>
      <c r="L205" s="5"/>
      <c r="M205" s="165"/>
      <c r="N205" s="165"/>
      <c r="O205" s="5"/>
      <c r="P205" s="5"/>
      <c r="Q205" s="5"/>
      <c r="R205" s="5"/>
      <c r="S205" s="5"/>
      <c r="T205" s="5"/>
      <c r="U205" s="62"/>
      <c r="V205" s="5"/>
      <c r="W205" s="5"/>
      <c r="X205" s="62"/>
      <c r="Y205" s="5"/>
      <c r="Z205" s="165"/>
      <c r="AA205" s="5"/>
      <c r="AB205" s="62"/>
      <c r="AC205" s="62">
        <f t="shared" si="35"/>
        <v>1</v>
      </c>
      <c r="AD205" s="66"/>
      <c r="AE205" s="99">
        <f t="shared" si="36"/>
        <v>0</v>
      </c>
      <c r="AF205" s="98">
        <f t="shared" si="37"/>
        <v>0</v>
      </c>
      <c r="AG205" s="100"/>
      <c r="AH205" s="63"/>
      <c r="AI205" s="64"/>
      <c r="AJ205" s="64"/>
      <c r="AK205" s="62" t="str">
        <f t="shared" si="38"/>
        <v/>
      </c>
      <c r="AL205" s="62"/>
      <c r="AM205" s="5"/>
      <c r="AN205" s="71"/>
      <c r="AO205" s="64">
        <v>1</v>
      </c>
      <c r="AP205" s="64" t="s">
        <v>799</v>
      </c>
      <c r="AQ205" s="62"/>
      <c r="AR205" s="63"/>
      <c r="AS205" s="64">
        <f t="shared" si="39"/>
        <v>0</v>
      </c>
      <c r="AT205" s="103"/>
      <c r="AU205" s="103"/>
      <c r="AV205" s="103"/>
      <c r="AW205" s="103"/>
      <c r="AX205" s="103"/>
    </row>
    <row r="206" spans="1:50" ht="13.5" customHeight="1">
      <c r="A206" s="5"/>
      <c r="B206" s="5"/>
      <c r="C206" s="5"/>
      <c r="D206" s="2"/>
      <c r="E206" s="5"/>
      <c r="F206" s="5"/>
      <c r="G206" s="5"/>
      <c r="H206" s="5"/>
      <c r="I206" s="65"/>
      <c r="J206" s="5"/>
      <c r="K206" s="5"/>
      <c r="L206" s="5"/>
      <c r="M206" s="165"/>
      <c r="N206" s="165"/>
      <c r="O206" s="5"/>
      <c r="P206" s="5"/>
      <c r="Q206" s="5"/>
      <c r="R206" s="5"/>
      <c r="S206" s="5"/>
      <c r="T206" s="5"/>
      <c r="U206" s="62"/>
      <c r="V206" s="5"/>
      <c r="W206" s="5"/>
      <c r="X206" s="62"/>
      <c r="Y206" s="5"/>
      <c r="Z206" s="165"/>
      <c r="AA206" s="5"/>
      <c r="AB206" s="62"/>
      <c r="AC206" s="62">
        <f t="shared" si="35"/>
        <v>1</v>
      </c>
      <c r="AD206" s="66"/>
      <c r="AE206" s="67"/>
      <c r="AF206" s="98">
        <f t="shared" si="37"/>
        <v>0</v>
      </c>
      <c r="AG206" s="68"/>
      <c r="AH206" s="69"/>
      <c r="AI206" s="65"/>
      <c r="AJ206" s="65"/>
      <c r="AK206" s="62" t="str">
        <f t="shared" si="38"/>
        <v/>
      </c>
      <c r="AL206" s="62"/>
      <c r="AM206" s="5"/>
      <c r="AN206" s="71"/>
      <c r="AO206" s="65"/>
      <c r="AP206" s="65"/>
      <c r="AQ206" s="62"/>
      <c r="AR206" s="63"/>
      <c r="AS206" s="64">
        <f t="shared" si="39"/>
        <v>0</v>
      </c>
      <c r="AT206" s="103"/>
      <c r="AU206" s="103"/>
      <c r="AV206" s="103"/>
      <c r="AW206" s="103"/>
      <c r="AX206" s="103"/>
    </row>
    <row r="207" spans="1:50" ht="13.5" customHeight="1">
      <c r="A207" s="5"/>
      <c r="B207" s="5"/>
      <c r="C207" s="5"/>
      <c r="D207" s="2"/>
      <c r="E207" s="5"/>
      <c r="F207" s="5"/>
      <c r="G207" s="5"/>
      <c r="H207" s="5"/>
      <c r="I207" s="65"/>
      <c r="J207" s="5"/>
      <c r="K207" s="5"/>
      <c r="L207" s="5"/>
      <c r="M207" s="165"/>
      <c r="N207" s="165"/>
      <c r="O207" s="5"/>
      <c r="P207" s="5"/>
      <c r="Q207" s="5"/>
      <c r="R207" s="5"/>
      <c r="S207" s="5"/>
      <c r="T207" s="5"/>
      <c r="U207" s="62"/>
      <c r="V207" s="5"/>
      <c r="W207" s="5"/>
      <c r="X207" s="62"/>
      <c r="Y207" s="5"/>
      <c r="Z207" s="165"/>
      <c r="AA207" s="5"/>
      <c r="AB207" s="62"/>
      <c r="AC207" s="62">
        <f t="shared" si="35"/>
        <v>1</v>
      </c>
      <c r="AD207" s="66"/>
      <c r="AE207" s="67"/>
      <c r="AF207" s="98">
        <f t="shared" si="37"/>
        <v>0</v>
      </c>
      <c r="AG207" s="68"/>
      <c r="AH207" s="69"/>
      <c r="AI207" s="65"/>
      <c r="AJ207" s="65"/>
      <c r="AK207" s="62" t="str">
        <f t="shared" si="38"/>
        <v/>
      </c>
      <c r="AL207" s="62"/>
      <c r="AM207" s="5"/>
      <c r="AN207" s="71"/>
      <c r="AO207" s="65"/>
      <c r="AP207" s="65"/>
      <c r="AQ207" s="62"/>
      <c r="AR207" s="63"/>
      <c r="AS207" s="64">
        <f t="shared" si="39"/>
        <v>0</v>
      </c>
      <c r="AT207" s="103"/>
      <c r="AU207" s="103"/>
      <c r="AV207" s="103"/>
      <c r="AW207" s="103"/>
      <c r="AX207" s="103"/>
    </row>
    <row r="208" spans="1:50" ht="13.5" customHeight="1">
      <c r="A208" s="5"/>
      <c r="B208" s="5"/>
      <c r="C208" s="5"/>
      <c r="D208" s="2"/>
      <c r="E208" s="5"/>
      <c r="F208" s="5"/>
      <c r="G208" s="5"/>
      <c r="H208" s="5"/>
      <c r="I208" s="65"/>
      <c r="J208" s="5"/>
      <c r="K208" s="5"/>
      <c r="L208" s="5"/>
      <c r="M208" s="165"/>
      <c r="N208" s="165"/>
      <c r="O208" s="5"/>
      <c r="P208" s="5"/>
      <c r="Q208" s="5"/>
      <c r="R208" s="5"/>
      <c r="S208" s="5"/>
      <c r="T208" s="5"/>
      <c r="U208" s="62"/>
      <c r="V208" s="5"/>
      <c r="W208" s="5"/>
      <c r="X208" s="62"/>
      <c r="Y208" s="5"/>
      <c r="Z208" s="165"/>
      <c r="AA208" s="5"/>
      <c r="AB208" s="62"/>
      <c r="AC208" s="62">
        <f t="shared" si="35"/>
        <v>1</v>
      </c>
      <c r="AD208" s="66"/>
      <c r="AE208" s="67"/>
      <c r="AF208" s="98">
        <f t="shared" si="37"/>
        <v>0</v>
      </c>
      <c r="AG208" s="68"/>
      <c r="AH208" s="69"/>
      <c r="AI208" s="65"/>
      <c r="AJ208" s="65"/>
      <c r="AK208" s="62" t="str">
        <f t="shared" si="38"/>
        <v/>
      </c>
      <c r="AL208" s="62"/>
      <c r="AM208" s="5"/>
      <c r="AN208" s="71"/>
      <c r="AO208" s="65"/>
      <c r="AP208" s="65"/>
      <c r="AQ208" s="62"/>
      <c r="AR208" s="63"/>
      <c r="AS208" s="64">
        <f t="shared" si="39"/>
        <v>0</v>
      </c>
      <c r="AT208" s="103"/>
      <c r="AU208" s="103"/>
      <c r="AV208" s="103"/>
      <c r="AW208" s="103"/>
      <c r="AX208" s="103"/>
    </row>
    <row r="209" spans="1:50" ht="13.5" customHeight="1">
      <c r="A209" s="5"/>
      <c r="B209" s="5"/>
      <c r="C209" s="5"/>
      <c r="D209" s="2"/>
      <c r="E209" s="5"/>
      <c r="F209" s="5"/>
      <c r="G209" s="5"/>
      <c r="H209" s="5"/>
      <c r="I209" s="65"/>
      <c r="J209" s="5"/>
      <c r="K209" s="5"/>
      <c r="L209" s="5"/>
      <c r="M209" s="165"/>
      <c r="N209" s="165"/>
      <c r="O209" s="5"/>
      <c r="P209" s="5"/>
      <c r="Q209" s="5"/>
      <c r="R209" s="5"/>
      <c r="S209" s="5"/>
      <c r="T209" s="5"/>
      <c r="U209" s="62"/>
      <c r="V209" s="5"/>
      <c r="W209" s="5"/>
      <c r="X209" s="62"/>
      <c r="Y209" s="5"/>
      <c r="Z209" s="165"/>
      <c r="AA209" s="5"/>
      <c r="AB209" s="62"/>
      <c r="AC209" s="62">
        <f t="shared" si="35"/>
        <v>1</v>
      </c>
      <c r="AD209" s="66"/>
      <c r="AE209" s="67"/>
      <c r="AF209" s="98">
        <f t="shared" si="37"/>
        <v>0</v>
      </c>
      <c r="AG209" s="68"/>
      <c r="AH209" s="69"/>
      <c r="AI209" s="65"/>
      <c r="AJ209" s="65"/>
      <c r="AK209" s="62" t="str">
        <f t="shared" si="38"/>
        <v/>
      </c>
      <c r="AL209" s="62"/>
      <c r="AM209" s="5"/>
      <c r="AN209" s="71"/>
      <c r="AO209" s="65"/>
      <c r="AP209" s="65"/>
      <c r="AQ209" s="62"/>
      <c r="AR209" s="63"/>
      <c r="AS209" s="64">
        <f t="shared" si="39"/>
        <v>0</v>
      </c>
      <c r="AT209" s="103"/>
      <c r="AU209" s="103"/>
      <c r="AV209" s="103"/>
      <c r="AW209" s="103"/>
      <c r="AX209" s="103"/>
    </row>
    <row r="210" spans="1:50" ht="13.5" customHeight="1">
      <c r="A210" s="5"/>
      <c r="B210" s="5"/>
      <c r="C210" s="5"/>
      <c r="D210" s="2"/>
      <c r="E210" s="5"/>
      <c r="F210" s="5"/>
      <c r="G210" s="5"/>
      <c r="H210" s="5"/>
      <c r="I210" s="65"/>
      <c r="J210" s="5"/>
      <c r="K210" s="5"/>
      <c r="L210" s="5"/>
      <c r="M210" s="165"/>
      <c r="N210" s="165"/>
      <c r="O210" s="5"/>
      <c r="P210" s="5"/>
      <c r="Q210" s="5"/>
      <c r="R210" s="5"/>
      <c r="S210" s="5"/>
      <c r="T210" s="5"/>
      <c r="U210" s="62"/>
      <c r="V210" s="5"/>
      <c r="W210" s="5"/>
      <c r="X210" s="5"/>
      <c r="Y210" s="5"/>
      <c r="Z210" s="165"/>
      <c r="AA210" s="5"/>
      <c r="AB210" s="62"/>
      <c r="AC210" s="62">
        <f t="shared" si="35"/>
        <v>1</v>
      </c>
      <c r="AD210" s="66"/>
      <c r="AE210" s="67"/>
      <c r="AF210" s="98">
        <f t="shared" si="37"/>
        <v>0</v>
      </c>
      <c r="AG210" s="68"/>
      <c r="AH210" s="69"/>
      <c r="AI210" s="70"/>
      <c r="AJ210" s="65"/>
      <c r="AK210" s="62" t="str">
        <f t="shared" si="38"/>
        <v/>
      </c>
      <c r="AL210" s="62"/>
      <c r="AM210" s="5"/>
      <c r="AN210" s="71"/>
      <c r="AO210" s="65"/>
      <c r="AP210" s="65"/>
      <c r="AQ210" s="62"/>
      <c r="AR210" s="63"/>
      <c r="AS210" s="64">
        <f t="shared" si="39"/>
        <v>0</v>
      </c>
      <c r="AT210" s="103"/>
      <c r="AU210" s="103"/>
      <c r="AV210" s="103"/>
      <c r="AW210" s="103"/>
      <c r="AX210" s="103"/>
    </row>
    <row r="211" spans="1:50" ht="13.5" customHeight="1">
      <c r="A211" s="5"/>
      <c r="B211" s="5"/>
      <c r="C211" s="5"/>
      <c r="D211" s="2"/>
      <c r="E211" s="5"/>
      <c r="F211" s="5"/>
      <c r="G211" s="5"/>
      <c r="H211" s="5"/>
      <c r="I211" s="65"/>
      <c r="J211" s="5"/>
      <c r="K211" s="5"/>
      <c r="L211" s="5"/>
      <c r="M211" s="165"/>
      <c r="N211" s="165"/>
      <c r="O211" s="5"/>
      <c r="P211" s="5"/>
      <c r="Q211" s="5"/>
      <c r="R211" s="5"/>
      <c r="S211" s="5"/>
      <c r="T211" s="5"/>
      <c r="U211" s="62"/>
      <c r="V211" s="5"/>
      <c r="W211" s="5"/>
      <c r="X211" s="5"/>
      <c r="Y211" s="5"/>
      <c r="Z211" s="165"/>
      <c r="AA211" s="5"/>
      <c r="AB211" s="62"/>
      <c r="AC211" s="62">
        <f t="shared" si="35"/>
        <v>1</v>
      </c>
      <c r="AD211" s="66"/>
      <c r="AE211" s="67"/>
      <c r="AF211" s="98">
        <f t="shared" si="37"/>
        <v>0</v>
      </c>
      <c r="AG211" s="68"/>
      <c r="AH211" s="69"/>
      <c r="AI211" s="70"/>
      <c r="AJ211" s="65"/>
      <c r="AK211" s="62" t="str">
        <f t="shared" si="38"/>
        <v/>
      </c>
      <c r="AL211" s="62"/>
      <c r="AM211" s="5"/>
      <c r="AN211" s="71"/>
      <c r="AO211" s="65"/>
      <c r="AP211" s="65"/>
      <c r="AQ211" s="62"/>
      <c r="AR211" s="63"/>
      <c r="AS211" s="64">
        <f t="shared" si="39"/>
        <v>0</v>
      </c>
      <c r="AT211" s="103"/>
      <c r="AU211" s="103"/>
      <c r="AV211" s="103"/>
      <c r="AW211" s="103"/>
      <c r="AX211" s="103"/>
    </row>
    <row r="212" spans="1:50" ht="13.5" customHeight="1">
      <c r="A212" s="5"/>
      <c r="B212" s="5"/>
      <c r="C212" s="5"/>
      <c r="D212" s="2"/>
      <c r="E212" s="5"/>
      <c r="F212" s="5"/>
      <c r="G212" s="5"/>
      <c r="H212" s="5"/>
      <c r="I212" s="65"/>
      <c r="J212" s="5"/>
      <c r="K212" s="5"/>
      <c r="L212" s="5"/>
      <c r="M212" s="165"/>
      <c r="N212" s="165"/>
      <c r="O212" s="5"/>
      <c r="P212" s="5"/>
      <c r="Q212" s="5"/>
      <c r="R212" s="5"/>
      <c r="S212" s="5"/>
      <c r="T212" s="5"/>
      <c r="U212" s="62"/>
      <c r="V212" s="5"/>
      <c r="W212" s="5"/>
      <c r="X212" s="5"/>
      <c r="Y212" s="5"/>
      <c r="Z212" s="165"/>
      <c r="AA212" s="5"/>
      <c r="AB212" s="62"/>
      <c r="AC212" s="62">
        <f t="shared" si="35"/>
        <v>1</v>
      </c>
      <c r="AD212" s="66"/>
      <c r="AE212" s="67"/>
      <c r="AF212" s="98">
        <f t="shared" si="37"/>
        <v>0</v>
      </c>
      <c r="AG212" s="68"/>
      <c r="AH212" s="69"/>
      <c r="AI212" s="70"/>
      <c r="AJ212" s="65"/>
      <c r="AK212" s="62" t="str">
        <f t="shared" si="38"/>
        <v/>
      </c>
      <c r="AL212" s="62"/>
      <c r="AM212" s="5"/>
      <c r="AN212" s="71"/>
      <c r="AO212" s="65"/>
      <c r="AP212" s="65"/>
      <c r="AQ212" s="62"/>
      <c r="AR212" s="63"/>
      <c r="AS212" s="64">
        <f t="shared" si="39"/>
        <v>0</v>
      </c>
      <c r="AT212" s="103"/>
      <c r="AU212" s="103"/>
      <c r="AV212" s="103"/>
      <c r="AW212" s="103"/>
      <c r="AX212" s="103"/>
    </row>
    <row r="213" spans="1:50" ht="13.5" customHeight="1">
      <c r="A213" s="5"/>
      <c r="B213" s="5"/>
      <c r="C213" s="5"/>
      <c r="D213" s="2"/>
      <c r="E213" s="5"/>
      <c r="F213" s="5"/>
      <c r="G213" s="5"/>
      <c r="H213" s="5"/>
      <c r="I213" s="65"/>
      <c r="J213" s="5"/>
      <c r="K213" s="5"/>
      <c r="L213" s="5"/>
      <c r="M213" s="165"/>
      <c r="N213" s="165"/>
      <c r="O213" s="5"/>
      <c r="P213" s="5"/>
      <c r="Q213" s="5"/>
      <c r="R213" s="5"/>
      <c r="S213" s="5"/>
      <c r="T213" s="5"/>
      <c r="U213" s="62"/>
      <c r="V213" s="5"/>
      <c r="W213" s="5"/>
      <c r="X213" s="5"/>
      <c r="Y213" s="5"/>
      <c r="Z213" s="165"/>
      <c r="AA213" s="5"/>
      <c r="AB213" s="62"/>
      <c r="AC213" s="62">
        <f t="shared" si="35"/>
        <v>1</v>
      </c>
      <c r="AD213" s="66"/>
      <c r="AE213" s="67"/>
      <c r="AF213" s="98">
        <f t="shared" si="37"/>
        <v>0</v>
      </c>
      <c r="AG213" s="68"/>
      <c r="AH213" s="69"/>
      <c r="AI213" s="70"/>
      <c r="AJ213" s="65"/>
      <c r="AK213" s="62" t="str">
        <f t="shared" si="38"/>
        <v/>
      </c>
      <c r="AL213" s="62"/>
      <c r="AM213" s="5"/>
      <c r="AN213" s="71"/>
      <c r="AO213" s="65"/>
      <c r="AP213" s="65"/>
      <c r="AQ213" s="62"/>
      <c r="AR213" s="63"/>
      <c r="AS213" s="64">
        <f t="shared" si="39"/>
        <v>0</v>
      </c>
      <c r="AT213" s="103"/>
      <c r="AU213" s="103"/>
      <c r="AV213" s="103"/>
      <c r="AW213" s="103"/>
      <c r="AX213" s="103"/>
    </row>
    <row r="214" spans="1:50" ht="13.5" customHeight="1">
      <c r="A214" s="5"/>
      <c r="B214" s="5"/>
      <c r="C214" s="5"/>
      <c r="D214" s="2"/>
      <c r="E214" s="5"/>
      <c r="F214" s="5"/>
      <c r="G214" s="5"/>
      <c r="H214" s="5"/>
      <c r="I214" s="65"/>
      <c r="J214" s="5"/>
      <c r="K214" s="5"/>
      <c r="L214" s="5"/>
      <c r="M214" s="165"/>
      <c r="N214" s="165"/>
      <c r="O214" s="5"/>
      <c r="P214" s="5"/>
      <c r="Q214" s="5"/>
      <c r="R214" s="5"/>
      <c r="S214" s="5"/>
      <c r="T214" s="5"/>
      <c r="U214" s="62"/>
      <c r="V214" s="5"/>
      <c r="W214" s="5"/>
      <c r="X214" s="5"/>
      <c r="Y214" s="5"/>
      <c r="Z214" s="165"/>
      <c r="AA214" s="5"/>
      <c r="AB214" s="62"/>
      <c r="AC214" s="62">
        <f t="shared" si="35"/>
        <v>1</v>
      </c>
      <c r="AD214" s="66"/>
      <c r="AE214" s="67"/>
      <c r="AF214" s="98">
        <f t="shared" si="37"/>
        <v>0</v>
      </c>
      <c r="AG214" s="68"/>
      <c r="AH214" s="69"/>
      <c r="AI214" s="70"/>
      <c r="AJ214" s="65"/>
      <c r="AK214" s="62" t="str">
        <f t="shared" si="38"/>
        <v/>
      </c>
      <c r="AL214" s="62"/>
      <c r="AM214" s="5"/>
      <c r="AN214" s="71"/>
      <c r="AO214" s="65"/>
      <c r="AP214" s="65"/>
      <c r="AQ214" s="62"/>
      <c r="AR214" s="63"/>
      <c r="AS214" s="64">
        <f t="shared" si="39"/>
        <v>0</v>
      </c>
      <c r="AT214" s="103"/>
      <c r="AU214" s="103"/>
      <c r="AV214" s="103"/>
      <c r="AW214" s="103"/>
      <c r="AX214" s="103"/>
    </row>
    <row r="215" spans="1:50" ht="13.5" customHeight="1">
      <c r="A215" s="5"/>
      <c r="B215" s="5"/>
      <c r="C215" s="5"/>
      <c r="D215" s="2"/>
      <c r="E215" s="5"/>
      <c r="F215" s="5"/>
      <c r="G215" s="5"/>
      <c r="H215" s="5"/>
      <c r="I215" s="65"/>
      <c r="J215" s="5"/>
      <c r="K215" s="5"/>
      <c r="L215" s="5"/>
      <c r="M215" s="165"/>
      <c r="N215" s="165"/>
      <c r="O215" s="5"/>
      <c r="P215" s="5"/>
      <c r="Q215" s="5"/>
      <c r="R215" s="5"/>
      <c r="S215" s="5"/>
      <c r="T215" s="5"/>
      <c r="U215" s="62"/>
      <c r="V215" s="5"/>
      <c r="W215" s="5"/>
      <c r="X215" s="5"/>
      <c r="Y215" s="5"/>
      <c r="Z215" s="165"/>
      <c r="AA215" s="5"/>
      <c r="AB215" s="62"/>
      <c r="AC215" s="62">
        <f t="shared" si="35"/>
        <v>1</v>
      </c>
      <c r="AD215" s="66"/>
      <c r="AE215" s="67"/>
      <c r="AF215" s="98">
        <f t="shared" si="37"/>
        <v>0</v>
      </c>
      <c r="AG215" s="68"/>
      <c r="AH215" s="69"/>
      <c r="AI215" s="70"/>
      <c r="AJ215" s="65"/>
      <c r="AK215" s="62" t="str">
        <f t="shared" si="38"/>
        <v/>
      </c>
      <c r="AL215" s="62"/>
      <c r="AM215" s="5"/>
      <c r="AN215" s="71"/>
      <c r="AO215" s="65"/>
      <c r="AP215" s="65"/>
      <c r="AQ215" s="62"/>
      <c r="AR215" s="63"/>
      <c r="AS215" s="64">
        <f t="shared" si="39"/>
        <v>0</v>
      </c>
      <c r="AT215" s="103"/>
      <c r="AU215" s="103"/>
      <c r="AV215" s="103"/>
      <c r="AW215" s="103"/>
      <c r="AX215" s="103"/>
    </row>
    <row r="216" spans="1:50" ht="13.5" customHeight="1">
      <c r="A216" s="5"/>
      <c r="B216" s="5"/>
      <c r="C216" s="5"/>
      <c r="D216" s="2"/>
      <c r="E216" s="5"/>
      <c r="F216" s="5"/>
      <c r="G216" s="5"/>
      <c r="H216" s="5"/>
      <c r="I216" s="65"/>
      <c r="J216" s="5"/>
      <c r="K216" s="5"/>
      <c r="L216" s="5"/>
      <c r="M216" s="165"/>
      <c r="N216" s="165"/>
      <c r="O216" s="5"/>
      <c r="P216" s="5"/>
      <c r="Q216" s="5"/>
      <c r="R216" s="5"/>
      <c r="S216" s="5"/>
      <c r="T216" s="5"/>
      <c r="U216" s="62"/>
      <c r="V216" s="5"/>
      <c r="W216" s="5"/>
      <c r="X216" s="5"/>
      <c r="Y216" s="5"/>
      <c r="Z216" s="165"/>
      <c r="AA216" s="5"/>
      <c r="AB216" s="62"/>
      <c r="AC216" s="62">
        <f t="shared" si="35"/>
        <v>1</v>
      </c>
      <c r="AD216" s="66"/>
      <c r="AE216" s="67"/>
      <c r="AF216" s="98">
        <f t="shared" si="37"/>
        <v>0</v>
      </c>
      <c r="AG216" s="68"/>
      <c r="AH216" s="69"/>
      <c r="AI216" s="70"/>
      <c r="AJ216" s="65"/>
      <c r="AK216" s="62" t="str">
        <f t="shared" si="38"/>
        <v/>
      </c>
      <c r="AL216" s="62"/>
      <c r="AM216" s="5"/>
      <c r="AN216" s="71"/>
      <c r="AO216" s="65"/>
      <c r="AP216" s="65"/>
      <c r="AQ216" s="62"/>
      <c r="AR216" s="63"/>
      <c r="AS216" s="64">
        <f t="shared" si="39"/>
        <v>0</v>
      </c>
      <c r="AT216" s="103"/>
      <c r="AU216" s="103"/>
      <c r="AV216" s="103"/>
      <c r="AW216" s="103"/>
      <c r="AX216" s="103"/>
    </row>
    <row r="217" spans="1:50" ht="13.5" customHeight="1">
      <c r="A217" s="5"/>
      <c r="B217" s="5"/>
      <c r="C217" s="5"/>
      <c r="D217" s="2"/>
      <c r="E217" s="5"/>
      <c r="F217" s="5"/>
      <c r="G217" s="5"/>
      <c r="H217" s="5"/>
      <c r="I217" s="65"/>
      <c r="J217" s="5"/>
      <c r="K217" s="5"/>
      <c r="L217" s="5"/>
      <c r="M217" s="165"/>
      <c r="N217" s="165"/>
      <c r="O217" s="5"/>
      <c r="P217" s="5"/>
      <c r="Q217" s="5"/>
      <c r="R217" s="5"/>
      <c r="S217" s="5"/>
      <c r="T217" s="5"/>
      <c r="U217" s="62"/>
      <c r="V217" s="5"/>
      <c r="W217" s="5"/>
      <c r="X217" s="5"/>
      <c r="Y217" s="5"/>
      <c r="Z217" s="165"/>
      <c r="AA217" s="5"/>
      <c r="AB217" s="62"/>
      <c r="AC217" s="62">
        <f t="shared" si="35"/>
        <v>1</v>
      </c>
      <c r="AD217" s="66"/>
      <c r="AE217" s="67"/>
      <c r="AF217" s="98">
        <f t="shared" si="37"/>
        <v>0</v>
      </c>
      <c r="AG217" s="68"/>
      <c r="AH217" s="69"/>
      <c r="AI217" s="70"/>
      <c r="AJ217" s="65"/>
      <c r="AK217" s="62" t="str">
        <f t="shared" si="38"/>
        <v/>
      </c>
      <c r="AL217" s="62"/>
      <c r="AM217" s="5"/>
      <c r="AN217" s="71"/>
      <c r="AO217" s="65"/>
      <c r="AP217" s="65"/>
      <c r="AQ217" s="62"/>
      <c r="AR217" s="63"/>
      <c r="AS217" s="64">
        <f t="shared" si="39"/>
        <v>0</v>
      </c>
      <c r="AT217" s="103"/>
      <c r="AU217" s="103"/>
      <c r="AV217" s="103"/>
      <c r="AW217" s="103"/>
      <c r="AX217" s="103"/>
    </row>
    <row r="218" spans="1:50" ht="13.5" customHeight="1">
      <c r="A218" s="5"/>
      <c r="B218" s="5"/>
      <c r="C218" s="5"/>
      <c r="D218" s="2"/>
      <c r="E218" s="5"/>
      <c r="F218" s="5"/>
      <c r="G218" s="5"/>
      <c r="H218" s="5"/>
      <c r="I218" s="65"/>
      <c r="J218" s="5"/>
      <c r="K218" s="5"/>
      <c r="L218" s="5"/>
      <c r="M218" s="165"/>
      <c r="N218" s="165"/>
      <c r="O218" s="5"/>
      <c r="P218" s="5"/>
      <c r="Q218" s="5"/>
      <c r="R218" s="5"/>
      <c r="S218" s="5"/>
      <c r="T218" s="5"/>
      <c r="U218" s="62"/>
      <c r="V218" s="5"/>
      <c r="W218" s="5"/>
      <c r="X218" s="5"/>
      <c r="Y218" s="5"/>
      <c r="Z218" s="165"/>
      <c r="AA218" s="5"/>
      <c r="AB218" s="62"/>
      <c r="AC218" s="62">
        <f t="shared" si="35"/>
        <v>1</v>
      </c>
      <c r="AD218" s="66"/>
      <c r="AE218" s="67"/>
      <c r="AF218" s="98">
        <f t="shared" si="37"/>
        <v>0</v>
      </c>
      <c r="AG218" s="68"/>
      <c r="AH218" s="69"/>
      <c r="AI218" s="70"/>
      <c r="AJ218" s="65"/>
      <c r="AK218" s="62" t="str">
        <f t="shared" si="38"/>
        <v/>
      </c>
      <c r="AL218" s="62"/>
      <c r="AM218" s="5"/>
      <c r="AN218" s="71"/>
      <c r="AO218" s="65"/>
      <c r="AP218" s="65"/>
      <c r="AQ218" s="62"/>
      <c r="AR218" s="63"/>
      <c r="AS218" s="64">
        <f t="shared" si="39"/>
        <v>0</v>
      </c>
      <c r="AT218" s="103"/>
      <c r="AU218" s="103"/>
      <c r="AV218" s="103"/>
      <c r="AW218" s="103"/>
      <c r="AX218" s="103"/>
    </row>
    <row r="219" spans="1:50" ht="13.5" customHeight="1">
      <c r="A219" s="5"/>
      <c r="B219" s="5"/>
      <c r="C219" s="5"/>
      <c r="D219" s="2"/>
      <c r="E219" s="5"/>
      <c r="F219" s="5"/>
      <c r="G219" s="5"/>
      <c r="H219" s="5"/>
      <c r="I219" s="65"/>
      <c r="J219" s="5"/>
      <c r="K219" s="5"/>
      <c r="L219" s="5"/>
      <c r="M219" s="165"/>
      <c r="N219" s="165"/>
      <c r="O219" s="5"/>
      <c r="P219" s="5"/>
      <c r="Q219" s="5"/>
      <c r="R219" s="5"/>
      <c r="S219" s="5"/>
      <c r="T219" s="5"/>
      <c r="U219" s="62"/>
      <c r="V219" s="5"/>
      <c r="W219" s="5"/>
      <c r="X219" s="5"/>
      <c r="Y219" s="5"/>
      <c r="Z219" s="165"/>
      <c r="AA219" s="5"/>
      <c r="AB219" s="62"/>
      <c r="AC219" s="62">
        <f t="shared" si="35"/>
        <v>1</v>
      </c>
      <c r="AD219" s="66"/>
      <c r="AE219" s="67"/>
      <c r="AF219" s="98">
        <f t="shared" si="37"/>
        <v>0</v>
      </c>
      <c r="AG219" s="68"/>
      <c r="AH219" s="69"/>
      <c r="AI219" s="70"/>
      <c r="AJ219" s="65"/>
      <c r="AK219" s="62" t="str">
        <f t="shared" si="38"/>
        <v/>
      </c>
      <c r="AL219" s="62"/>
      <c r="AM219" s="5"/>
      <c r="AN219" s="71"/>
      <c r="AO219" s="65"/>
      <c r="AP219" s="65"/>
      <c r="AQ219" s="62"/>
      <c r="AR219" s="63"/>
      <c r="AS219" s="64">
        <f t="shared" si="39"/>
        <v>0</v>
      </c>
      <c r="AT219" s="103"/>
      <c r="AU219" s="103"/>
      <c r="AV219" s="103"/>
      <c r="AW219" s="103"/>
      <c r="AX219" s="103"/>
    </row>
    <row r="220" spans="1:50" ht="13.5" customHeight="1">
      <c r="A220" s="5"/>
      <c r="B220" s="5"/>
      <c r="C220" s="5"/>
      <c r="D220" s="2"/>
      <c r="E220" s="5"/>
      <c r="F220" s="5"/>
      <c r="G220" s="5"/>
      <c r="H220" s="5"/>
      <c r="I220" s="65"/>
      <c r="J220" s="5"/>
      <c r="K220" s="5"/>
      <c r="L220" s="5"/>
      <c r="M220" s="165"/>
      <c r="N220" s="165"/>
      <c r="O220" s="5"/>
      <c r="P220" s="5"/>
      <c r="Q220" s="5"/>
      <c r="R220" s="5"/>
      <c r="S220" s="5"/>
      <c r="T220" s="5"/>
      <c r="U220" s="62"/>
      <c r="V220" s="5"/>
      <c r="W220" s="5"/>
      <c r="X220" s="5"/>
      <c r="Y220" s="5"/>
      <c r="Z220" s="165"/>
      <c r="AA220" s="5"/>
      <c r="AB220" s="62"/>
      <c r="AC220" s="62">
        <f t="shared" si="35"/>
        <v>1</v>
      </c>
      <c r="AD220" s="66"/>
      <c r="AE220" s="67"/>
      <c r="AF220" s="98">
        <f t="shared" si="37"/>
        <v>0</v>
      </c>
      <c r="AG220" s="68"/>
      <c r="AH220" s="69"/>
      <c r="AI220" s="70"/>
      <c r="AJ220" s="65"/>
      <c r="AK220" s="62" t="str">
        <f t="shared" si="38"/>
        <v/>
      </c>
      <c r="AL220" s="62"/>
      <c r="AM220" s="5"/>
      <c r="AN220" s="71"/>
      <c r="AO220" s="65"/>
      <c r="AP220" s="65"/>
      <c r="AQ220" s="62"/>
      <c r="AR220" s="63"/>
      <c r="AS220" s="64">
        <f t="shared" si="39"/>
        <v>0</v>
      </c>
    </row>
    <row r="221" spans="1:50" ht="13.5" customHeight="1">
      <c r="A221" s="5"/>
      <c r="B221" s="5"/>
      <c r="C221" s="5"/>
      <c r="D221" s="2"/>
      <c r="E221" s="5"/>
      <c r="F221" s="5"/>
      <c r="G221" s="5"/>
      <c r="H221" s="5"/>
      <c r="I221" s="65"/>
      <c r="J221" s="5"/>
      <c r="K221" s="5"/>
      <c r="L221" s="5"/>
      <c r="M221" s="165"/>
      <c r="N221" s="165"/>
      <c r="O221" s="5"/>
      <c r="P221" s="5"/>
      <c r="Q221" s="5"/>
      <c r="R221" s="5"/>
      <c r="S221" s="5"/>
      <c r="T221" s="5"/>
      <c r="U221" s="62"/>
      <c r="V221" s="5"/>
      <c r="W221" s="5"/>
      <c r="X221" s="5"/>
      <c r="Y221" s="5"/>
      <c r="Z221" s="165"/>
      <c r="AA221" s="5"/>
      <c r="AB221" s="62"/>
      <c r="AC221" s="62">
        <f t="shared" si="35"/>
        <v>1</v>
      </c>
      <c r="AD221" s="66"/>
      <c r="AE221" s="67"/>
      <c r="AF221" s="98">
        <f t="shared" si="37"/>
        <v>0</v>
      </c>
      <c r="AG221" s="68"/>
      <c r="AH221" s="69"/>
      <c r="AI221" s="70"/>
      <c r="AJ221" s="65"/>
      <c r="AK221" s="62" t="str">
        <f t="shared" si="38"/>
        <v/>
      </c>
      <c r="AL221" s="5"/>
      <c r="AM221" s="5"/>
      <c r="AN221" s="71"/>
      <c r="AO221" s="65"/>
      <c r="AP221" s="65"/>
      <c r="AQ221" s="62"/>
      <c r="AR221" s="63"/>
      <c r="AS221" s="64">
        <f t="shared" si="39"/>
        <v>0</v>
      </c>
    </row>
    <row r="222" spans="1:50" ht="13.5" customHeight="1">
      <c r="A222" s="5"/>
      <c r="B222" s="5"/>
      <c r="C222" s="5"/>
      <c r="D222" s="2"/>
      <c r="E222" s="5"/>
      <c r="F222" s="5"/>
      <c r="G222" s="5"/>
      <c r="H222" s="5"/>
      <c r="I222" s="65"/>
      <c r="J222" s="5"/>
      <c r="K222" s="5"/>
      <c r="L222" s="5"/>
      <c r="M222" s="165"/>
      <c r="N222" s="165"/>
      <c r="O222" s="5"/>
      <c r="P222" s="5"/>
      <c r="Q222" s="5"/>
      <c r="R222" s="5"/>
      <c r="S222" s="5"/>
      <c r="T222" s="5"/>
      <c r="U222" s="62"/>
      <c r="V222" s="5"/>
      <c r="W222" s="5"/>
      <c r="X222" s="5"/>
      <c r="Y222" s="5"/>
      <c r="Z222" s="165"/>
      <c r="AA222" s="5"/>
      <c r="AB222" s="62"/>
      <c r="AC222" s="62">
        <f t="shared" si="35"/>
        <v>1</v>
      </c>
      <c r="AD222" s="66"/>
      <c r="AE222" s="67"/>
      <c r="AF222" s="98">
        <f t="shared" si="37"/>
        <v>0</v>
      </c>
      <c r="AG222" s="68"/>
      <c r="AH222" s="69"/>
      <c r="AI222" s="70"/>
      <c r="AJ222" s="65"/>
      <c r="AK222" s="62" t="str">
        <f t="shared" si="38"/>
        <v/>
      </c>
      <c r="AL222" s="5"/>
      <c r="AM222" s="5"/>
      <c r="AN222" s="71"/>
      <c r="AO222" s="65"/>
      <c r="AP222" s="65"/>
      <c r="AQ222" s="62"/>
      <c r="AR222" s="63"/>
      <c r="AS222" s="64">
        <f t="shared" si="39"/>
        <v>0</v>
      </c>
    </row>
    <row r="223" spans="1:50" ht="13.5" customHeight="1">
      <c r="A223" s="5"/>
      <c r="B223" s="5"/>
      <c r="C223" s="5"/>
      <c r="D223" s="2"/>
      <c r="E223" s="5"/>
      <c r="F223" s="5"/>
      <c r="G223" s="5"/>
      <c r="H223" s="5"/>
      <c r="I223" s="65"/>
      <c r="J223" s="5"/>
      <c r="K223" s="5"/>
      <c r="L223" s="5"/>
      <c r="M223" s="165"/>
      <c r="N223" s="165"/>
      <c r="O223" s="5"/>
      <c r="P223" s="5"/>
      <c r="Q223" s="5"/>
      <c r="R223" s="5"/>
      <c r="S223" s="5"/>
      <c r="T223" s="5"/>
      <c r="U223" s="62"/>
      <c r="V223" s="5"/>
      <c r="W223" s="5"/>
      <c r="X223" s="5"/>
      <c r="Y223" s="5"/>
      <c r="Z223" s="165"/>
      <c r="AA223" s="5"/>
      <c r="AB223" s="62"/>
      <c r="AC223" s="62">
        <f t="shared" si="35"/>
        <v>1</v>
      </c>
      <c r="AD223" s="66"/>
      <c r="AE223" s="67"/>
      <c r="AF223" s="98">
        <f t="shared" si="37"/>
        <v>0</v>
      </c>
      <c r="AG223" s="68"/>
      <c r="AH223" s="69"/>
      <c r="AI223" s="70"/>
      <c r="AJ223" s="65"/>
      <c r="AK223" s="62" t="str">
        <f t="shared" si="38"/>
        <v/>
      </c>
      <c r="AL223" s="5"/>
      <c r="AM223" s="5"/>
      <c r="AN223" s="71"/>
      <c r="AO223" s="65"/>
      <c r="AP223" s="65"/>
      <c r="AQ223" s="62"/>
      <c r="AR223" s="63"/>
      <c r="AS223" s="64"/>
    </row>
    <row r="224" spans="1:50" ht="13.5" customHeight="1">
      <c r="A224" s="5"/>
      <c r="B224" s="5"/>
      <c r="C224" s="5"/>
      <c r="D224" s="2"/>
      <c r="E224" s="5"/>
      <c r="F224" s="5"/>
      <c r="G224" s="5"/>
      <c r="H224" s="5"/>
      <c r="I224" s="65"/>
      <c r="J224" s="5"/>
      <c r="K224" s="5"/>
      <c r="L224" s="5"/>
      <c r="M224" s="165"/>
      <c r="N224" s="165"/>
      <c r="O224" s="5"/>
      <c r="P224" s="5"/>
      <c r="Q224" s="5"/>
      <c r="R224" s="5"/>
      <c r="S224" s="5"/>
      <c r="T224" s="5"/>
      <c r="U224" s="62"/>
      <c r="V224" s="5"/>
      <c r="W224" s="5"/>
      <c r="X224" s="5"/>
      <c r="Y224" s="5"/>
      <c r="Z224" s="165"/>
      <c r="AA224" s="5"/>
      <c r="AB224" s="62"/>
      <c r="AC224" s="62">
        <f t="shared" si="35"/>
        <v>1</v>
      </c>
      <c r="AD224" s="66"/>
      <c r="AE224" s="67"/>
      <c r="AF224" s="98">
        <f t="shared" si="37"/>
        <v>0</v>
      </c>
      <c r="AG224" s="68"/>
      <c r="AH224" s="69"/>
      <c r="AI224" s="70"/>
      <c r="AJ224" s="65"/>
      <c r="AK224" s="62" t="str">
        <f t="shared" si="38"/>
        <v/>
      </c>
      <c r="AL224" s="5"/>
      <c r="AM224" s="5"/>
      <c r="AN224" s="71"/>
      <c r="AO224" s="65"/>
      <c r="AP224" s="65"/>
      <c r="AQ224" s="62"/>
      <c r="AR224" s="63"/>
      <c r="AS224" s="64"/>
    </row>
    <row r="225" spans="1:45" ht="13.5" customHeight="1">
      <c r="A225" s="5"/>
      <c r="B225" s="5"/>
      <c r="C225" s="5"/>
      <c r="D225" s="2"/>
      <c r="E225" s="5"/>
      <c r="F225" s="5"/>
      <c r="G225" s="5"/>
      <c r="H225" s="5"/>
      <c r="I225" s="65"/>
      <c r="J225" s="5"/>
      <c r="K225" s="5"/>
      <c r="L225" s="5"/>
      <c r="M225" s="165"/>
      <c r="N225" s="165"/>
      <c r="O225" s="5"/>
      <c r="P225" s="5"/>
      <c r="Q225" s="5"/>
      <c r="R225" s="5"/>
      <c r="S225" s="5"/>
      <c r="T225" s="5"/>
      <c r="U225" s="62"/>
      <c r="V225" s="5"/>
      <c r="W225" s="5"/>
      <c r="X225" s="5"/>
      <c r="Y225" s="5"/>
      <c r="Z225" s="165"/>
      <c r="AA225" s="5"/>
      <c r="AB225" s="5"/>
      <c r="AC225" s="62">
        <f t="shared" si="35"/>
        <v>1</v>
      </c>
      <c r="AD225" s="66"/>
      <c r="AE225" s="67"/>
      <c r="AF225" s="98">
        <f t="shared" si="37"/>
        <v>0</v>
      </c>
      <c r="AG225" s="68"/>
      <c r="AH225" s="69"/>
      <c r="AI225" s="70"/>
      <c r="AJ225" s="65"/>
      <c r="AK225" s="5"/>
      <c r="AL225" s="5"/>
      <c r="AM225" s="5"/>
      <c r="AN225" s="71"/>
      <c r="AO225" s="65"/>
      <c r="AP225" s="65"/>
      <c r="AQ225" s="62"/>
      <c r="AR225" s="63"/>
      <c r="AS225" s="64"/>
    </row>
    <row r="226" spans="1:45" ht="13.5" customHeight="1">
      <c r="A226" s="5"/>
      <c r="B226" s="5"/>
      <c r="C226" s="5"/>
      <c r="D226" s="2"/>
      <c r="E226" s="5"/>
      <c r="F226" s="5"/>
      <c r="G226" s="5"/>
      <c r="H226" s="5"/>
      <c r="I226" s="65"/>
      <c r="J226" s="5"/>
      <c r="K226" s="5"/>
      <c r="L226" s="5"/>
      <c r="M226" s="165"/>
      <c r="N226" s="165"/>
      <c r="O226" s="5"/>
      <c r="P226" s="5"/>
      <c r="Q226" s="5"/>
      <c r="R226" s="5"/>
      <c r="S226" s="5"/>
      <c r="T226" s="5"/>
      <c r="U226" s="62"/>
      <c r="V226" s="5"/>
      <c r="W226" s="5"/>
      <c r="X226" s="5"/>
      <c r="Y226" s="5"/>
      <c r="Z226" s="165"/>
      <c r="AA226" s="5"/>
      <c r="AB226" s="5"/>
      <c r="AC226" s="62">
        <f t="shared" si="35"/>
        <v>1</v>
      </c>
      <c r="AD226" s="66"/>
      <c r="AE226" s="67"/>
      <c r="AF226" s="98">
        <f t="shared" si="37"/>
        <v>0</v>
      </c>
      <c r="AG226" s="68"/>
      <c r="AH226" s="69"/>
      <c r="AI226" s="70"/>
      <c r="AJ226" s="65"/>
      <c r="AK226" s="5"/>
      <c r="AL226" s="5"/>
      <c r="AM226" s="5"/>
      <c r="AN226" s="71"/>
      <c r="AO226" s="65"/>
      <c r="AP226" s="65"/>
      <c r="AQ226" s="62"/>
      <c r="AR226" s="63"/>
      <c r="AS226" s="64"/>
    </row>
    <row r="227" spans="1:45" ht="13.5" customHeight="1">
      <c r="A227" s="5"/>
      <c r="B227" s="5"/>
      <c r="C227" s="5"/>
      <c r="D227" s="2"/>
      <c r="E227" s="5"/>
      <c r="F227" s="5"/>
      <c r="G227" s="5"/>
      <c r="H227" s="5"/>
      <c r="I227" s="65"/>
      <c r="J227" s="5"/>
      <c r="K227" s="5"/>
      <c r="L227" s="5"/>
      <c r="M227" s="165"/>
      <c r="N227" s="165"/>
      <c r="O227" s="5"/>
      <c r="P227" s="5"/>
      <c r="Q227" s="5"/>
      <c r="R227" s="5"/>
      <c r="S227" s="5"/>
      <c r="T227" s="5"/>
      <c r="U227" s="62"/>
      <c r="V227" s="5"/>
      <c r="W227" s="5"/>
      <c r="X227" s="5"/>
      <c r="Y227" s="5"/>
      <c r="Z227" s="165"/>
      <c r="AA227" s="5"/>
      <c r="AB227" s="5"/>
      <c r="AC227" s="62">
        <f t="shared" si="35"/>
        <v>1</v>
      </c>
      <c r="AD227" s="66"/>
      <c r="AE227" s="67"/>
      <c r="AF227" s="98">
        <f t="shared" si="37"/>
        <v>0</v>
      </c>
      <c r="AG227" s="68"/>
      <c r="AH227" s="69"/>
      <c r="AI227" s="70"/>
      <c r="AJ227" s="65"/>
      <c r="AK227" s="5"/>
      <c r="AL227" s="5"/>
      <c r="AM227" s="5"/>
      <c r="AN227" s="71"/>
      <c r="AO227" s="65"/>
      <c r="AP227" s="65"/>
      <c r="AQ227" s="62"/>
      <c r="AR227" s="63"/>
      <c r="AS227" s="64"/>
    </row>
    <row r="228" spans="1:45" ht="13.5" customHeight="1">
      <c r="A228" s="5"/>
      <c r="B228" s="5"/>
      <c r="C228" s="5"/>
      <c r="D228" s="2"/>
      <c r="E228" s="5"/>
      <c r="F228" s="5"/>
      <c r="G228" s="5"/>
      <c r="H228" s="5"/>
      <c r="I228" s="65"/>
      <c r="J228" s="5"/>
      <c r="K228" s="5"/>
      <c r="L228" s="5"/>
      <c r="M228" s="165"/>
      <c r="N228" s="165"/>
      <c r="O228" s="5"/>
      <c r="P228" s="5"/>
      <c r="Q228" s="5"/>
      <c r="R228" s="5"/>
      <c r="S228" s="5"/>
      <c r="T228" s="5"/>
      <c r="U228" s="62"/>
      <c r="V228" s="5"/>
      <c r="W228" s="5"/>
      <c r="X228" s="5"/>
      <c r="Y228" s="5"/>
      <c r="Z228" s="165"/>
      <c r="AA228" s="5"/>
      <c r="AB228" s="5"/>
      <c r="AC228" s="62">
        <f t="shared" si="35"/>
        <v>1</v>
      </c>
      <c r="AD228" s="66"/>
      <c r="AE228" s="67"/>
      <c r="AF228" s="98">
        <f t="shared" si="37"/>
        <v>0</v>
      </c>
      <c r="AG228" s="68"/>
      <c r="AH228" s="69"/>
      <c r="AI228" s="70"/>
      <c r="AJ228" s="65"/>
      <c r="AK228" s="5"/>
      <c r="AL228" s="5"/>
      <c r="AM228" s="5"/>
      <c r="AN228" s="71"/>
      <c r="AO228" s="65"/>
      <c r="AP228" s="65"/>
      <c r="AQ228" s="62"/>
      <c r="AR228" s="63"/>
      <c r="AS228" s="64"/>
    </row>
    <row r="229" spans="1:45" ht="13.5" customHeight="1">
      <c r="A229" s="5"/>
      <c r="B229" s="5"/>
      <c r="C229" s="5"/>
      <c r="D229" s="2"/>
      <c r="E229" s="5"/>
      <c r="F229" s="5"/>
      <c r="G229" s="5"/>
      <c r="H229" s="5"/>
      <c r="I229" s="65"/>
      <c r="J229" s="5"/>
      <c r="K229" s="5"/>
      <c r="L229" s="5"/>
      <c r="M229" s="165"/>
      <c r="N229" s="165"/>
      <c r="O229" s="5"/>
      <c r="P229" s="5"/>
      <c r="Q229" s="5"/>
      <c r="R229" s="5"/>
      <c r="S229" s="5"/>
      <c r="T229" s="5"/>
      <c r="U229" s="62"/>
      <c r="V229" s="5"/>
      <c r="W229" s="5"/>
      <c r="X229" s="5"/>
      <c r="Y229" s="5"/>
      <c r="Z229" s="165"/>
      <c r="AA229" s="5"/>
      <c r="AB229" s="5"/>
      <c r="AC229" s="62">
        <f t="shared" si="35"/>
        <v>1</v>
      </c>
      <c r="AD229" s="66"/>
      <c r="AE229" s="67"/>
      <c r="AF229" s="98">
        <f t="shared" si="37"/>
        <v>0</v>
      </c>
      <c r="AG229" s="68"/>
      <c r="AH229" s="69"/>
      <c r="AI229" s="70"/>
      <c r="AJ229" s="65"/>
      <c r="AK229" s="5"/>
      <c r="AL229" s="5"/>
      <c r="AM229" s="5"/>
      <c r="AN229" s="71"/>
      <c r="AO229" s="65"/>
      <c r="AP229" s="65"/>
      <c r="AQ229" s="62"/>
      <c r="AR229" s="63"/>
      <c r="AS229" s="64"/>
    </row>
    <row r="230" spans="1:45" ht="13.5" customHeight="1">
      <c r="A230" s="5"/>
      <c r="B230" s="5"/>
      <c r="C230" s="5"/>
      <c r="D230" s="2"/>
      <c r="E230" s="5"/>
      <c r="F230" s="5"/>
      <c r="G230" s="5"/>
      <c r="H230" s="5"/>
      <c r="I230" s="65"/>
      <c r="J230" s="5"/>
      <c r="K230" s="5"/>
      <c r="L230" s="5"/>
      <c r="M230" s="165"/>
      <c r="N230" s="165"/>
      <c r="O230" s="5"/>
      <c r="P230" s="5"/>
      <c r="Q230" s="5"/>
      <c r="R230" s="5"/>
      <c r="S230" s="5"/>
      <c r="T230" s="5"/>
      <c r="U230" s="62"/>
      <c r="V230" s="5"/>
      <c r="W230" s="5"/>
      <c r="X230" s="5"/>
      <c r="Y230" s="5"/>
      <c r="Z230" s="165"/>
      <c r="AA230" s="5"/>
      <c r="AB230" s="5"/>
      <c r="AC230" s="62">
        <f t="shared" si="35"/>
        <v>1</v>
      </c>
      <c r="AD230" s="66"/>
      <c r="AE230" s="67"/>
      <c r="AF230" s="98">
        <f t="shared" si="37"/>
        <v>0</v>
      </c>
      <c r="AG230" s="68"/>
      <c r="AH230" s="69"/>
      <c r="AI230" s="70"/>
      <c r="AJ230" s="65"/>
      <c r="AK230" s="5"/>
      <c r="AL230" s="5"/>
      <c r="AM230" s="5"/>
      <c r="AN230" s="71"/>
      <c r="AO230" s="65"/>
      <c r="AP230" s="65"/>
      <c r="AQ230" s="62"/>
      <c r="AR230" s="63"/>
      <c r="AS230" s="64"/>
    </row>
    <row r="231" spans="1:45" ht="13.5" customHeight="1">
      <c r="A231" s="5"/>
      <c r="B231" s="5"/>
      <c r="C231" s="5"/>
      <c r="D231" s="2"/>
      <c r="E231" s="5"/>
      <c r="F231" s="5"/>
      <c r="G231" s="5"/>
      <c r="H231" s="5"/>
      <c r="I231" s="65"/>
      <c r="J231" s="5"/>
      <c r="K231" s="5"/>
      <c r="L231" s="5"/>
      <c r="M231" s="165"/>
      <c r="N231" s="165"/>
      <c r="O231" s="5"/>
      <c r="P231" s="5"/>
      <c r="Q231" s="5"/>
      <c r="R231" s="5"/>
      <c r="S231" s="5"/>
      <c r="T231" s="5"/>
      <c r="U231" s="62"/>
      <c r="V231" s="5"/>
      <c r="W231" s="5"/>
      <c r="X231" s="5"/>
      <c r="Y231" s="5"/>
      <c r="Z231" s="165"/>
      <c r="AA231" s="5"/>
      <c r="AB231" s="5"/>
      <c r="AC231" s="62">
        <f t="shared" si="35"/>
        <v>1</v>
      </c>
      <c r="AD231" s="66"/>
      <c r="AE231" s="67"/>
      <c r="AF231" s="98">
        <f t="shared" si="37"/>
        <v>0</v>
      </c>
      <c r="AG231" s="68"/>
      <c r="AH231" s="69"/>
      <c r="AI231" s="70"/>
      <c r="AJ231" s="65"/>
      <c r="AK231" s="5"/>
      <c r="AL231" s="5"/>
      <c r="AM231" s="5"/>
      <c r="AN231" s="71"/>
      <c r="AO231" s="65"/>
      <c r="AP231" s="65"/>
      <c r="AQ231" s="62"/>
      <c r="AR231" s="63"/>
      <c r="AS231" s="64"/>
    </row>
    <row r="232" spans="1:45" ht="13.5" customHeight="1">
      <c r="A232" s="5"/>
      <c r="B232" s="5"/>
      <c r="C232" s="5"/>
      <c r="D232" s="2"/>
      <c r="E232" s="5"/>
      <c r="F232" s="5"/>
      <c r="G232" s="5"/>
      <c r="H232" s="5"/>
      <c r="I232" s="65"/>
      <c r="J232" s="5"/>
      <c r="K232" s="5"/>
      <c r="L232" s="5"/>
      <c r="M232" s="165"/>
      <c r="N232" s="165"/>
      <c r="O232" s="5"/>
      <c r="P232" s="5"/>
      <c r="Q232" s="5"/>
      <c r="R232" s="5"/>
      <c r="S232" s="5"/>
      <c r="T232" s="5"/>
      <c r="U232" s="62"/>
      <c r="V232" s="5"/>
      <c r="W232" s="5"/>
      <c r="X232" s="5"/>
      <c r="Y232" s="5"/>
      <c r="Z232" s="165"/>
      <c r="AA232" s="5"/>
      <c r="AB232" s="5"/>
      <c r="AC232" s="62">
        <f t="shared" si="35"/>
        <v>1</v>
      </c>
      <c r="AD232" s="66"/>
      <c r="AE232" s="67"/>
      <c r="AF232" s="98">
        <f t="shared" si="37"/>
        <v>0</v>
      </c>
      <c r="AG232" s="68"/>
      <c r="AH232" s="69"/>
      <c r="AI232" s="70"/>
      <c r="AJ232" s="65"/>
      <c r="AK232" s="5"/>
      <c r="AL232" s="5"/>
      <c r="AM232" s="5"/>
      <c r="AN232" s="71"/>
      <c r="AO232" s="65"/>
      <c r="AP232" s="65"/>
      <c r="AQ232" s="62"/>
      <c r="AR232" s="63"/>
      <c r="AS232" s="64"/>
    </row>
  </sheetData>
  <mergeCells count="7">
    <mergeCell ref="A1:AP1"/>
    <mergeCell ref="B5:U5"/>
    <mergeCell ref="AO5:AP5"/>
    <mergeCell ref="A3:AP3"/>
    <mergeCell ref="A2:AP2"/>
    <mergeCell ref="AM5:AN5"/>
    <mergeCell ref="V5:AL5"/>
  </mergeCells>
  <dataValidations count="6">
    <dataValidation type="list" allowBlank="1" showInputMessage="1" showErrorMessage="1" sqref="U29:U35" xr:uid="{00000000-0002-0000-0000-000000000000}">
      <formula1>$AU$1:$AU$17</formula1>
      <formula2>0</formula2>
    </dataValidation>
    <dataValidation type="list" allowBlank="1" showInputMessage="1" showErrorMessage="1" sqref="O35" xr:uid="{00000000-0002-0000-0000-000001000000}">
      <formula1>$AW$1:$AW$81</formula1>
      <formula2>0</formula2>
    </dataValidation>
    <dataValidation type="list" allowBlank="1" showInputMessage="1" showErrorMessage="1" errorTitle="Valor no permitido" error="Seleccione un color de la lista." promptTitle="Seleccione un color" prompt="Elija un color de la lista desplegable." sqref="J29:J35" xr:uid="{00000000-0002-0000-0000-000002000000}">
      <formula1>$AR$2:$AR$13</formula1>
      <formula2>0</formula2>
    </dataValidation>
    <dataValidation type="list" allowBlank="1" showInputMessage="1" showErrorMessage="1" errorTitle="Valor no permitido" error="Seleccione un banco de la lista." promptTitle="Seleccione un banco" prompt="Elija un banco de la lista desplegable." sqref="AI29:AI35" xr:uid="{00000000-0002-0000-0000-000003000000}">
      <formula1>$AN$2:$AN$24</formula1>
      <formula2>0</formula2>
    </dataValidation>
    <dataValidation type="list" allowBlank="1" showInputMessage="1" showErrorMessage="1" sqref="AL29:AL35" xr:uid="{00000000-0002-0000-0000-000004000000}">
      <formula1>$AU$1:$AU$9</formula1>
      <formula2>0</formula2>
    </dataValidation>
    <dataValidation type="list" allowBlank="1" showInputMessage="1" promptTitle="Tipo de vehículo" prompt="Elige de la lista o escribe uno nuevo. Si escribes uno nuevo, agrégalo también al final de la lista en DATOS!W para que aparezca la próxima vez." sqref="H7:H300" xr:uid="{00000000-0002-0000-0000-000005000000}">
      <formula1>LISTA_TIPOS_VEHICULO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>
    <tabColor rgb="FF00B0F0"/>
    <pageSetUpPr fitToPage="1"/>
  </sheetPr>
  <dimension ref="A1:O167"/>
  <sheetViews>
    <sheetView showGridLines="0" zoomScale="85" zoomScaleNormal="85" workbookViewId="0">
      <pane ySplit="6" topLeftCell="A7" activePane="bottomLeft" state="frozen"/>
      <selection pane="bottomLeft" activeCell="A7" sqref="A7:XFD7"/>
    </sheetView>
  </sheetViews>
  <sheetFormatPr baseColWidth="10" defaultColWidth="8" defaultRowHeight="14.4"/>
  <cols>
    <col min="1" max="1" width="24.44140625" customWidth="1"/>
    <col min="2" max="2" width="6.44140625" customWidth="1"/>
    <col min="3" max="3" width="12.33203125" customWidth="1"/>
    <col min="4" max="4" width="10" customWidth="1"/>
    <col min="5" max="5" width="39.5546875" customWidth="1"/>
    <col min="6" max="6" width="12.6640625" customWidth="1"/>
    <col min="7" max="7" width="13" customWidth="1"/>
    <col min="9" max="9" width="16" customWidth="1"/>
    <col min="10" max="10" width="14" customWidth="1"/>
    <col min="11" max="11" width="7" customWidth="1"/>
    <col min="12" max="12" width="11.33203125" customWidth="1"/>
    <col min="13" max="13" width="9.44140625" customWidth="1"/>
    <col min="14" max="14" width="26.109375" customWidth="1"/>
  </cols>
  <sheetData>
    <row r="1" spans="1:15" ht="12.75" customHeight="1">
      <c r="A1" s="259" t="s">
        <v>800</v>
      </c>
      <c r="B1" s="260"/>
      <c r="C1" s="260"/>
      <c r="D1" s="260"/>
      <c r="E1" s="260"/>
      <c r="F1" s="260"/>
      <c r="G1" s="260"/>
      <c r="H1" s="260"/>
      <c r="I1" s="260"/>
      <c r="J1" s="260"/>
      <c r="K1" s="260"/>
      <c r="L1" s="260"/>
      <c r="M1" s="260"/>
      <c r="N1" s="260"/>
    </row>
    <row r="2" spans="1:15" ht="13.5" customHeight="1">
      <c r="A2" s="264" t="s">
        <v>801</v>
      </c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</row>
    <row r="3" spans="1:15" ht="15" customHeight="1">
      <c r="A3" s="267" t="s">
        <v>802</v>
      </c>
      <c r="B3" s="254"/>
      <c r="C3" s="266" t="s">
        <v>3</v>
      </c>
      <c r="D3" s="253"/>
      <c r="E3" s="253"/>
      <c r="F3" s="253"/>
      <c r="G3" s="253"/>
      <c r="H3" s="253"/>
      <c r="I3" s="253"/>
      <c r="J3" s="253"/>
      <c r="K3" s="253"/>
      <c r="L3" s="253"/>
      <c r="M3" s="253"/>
      <c r="N3" s="254"/>
    </row>
    <row r="4" spans="1:15" ht="42" customHeight="1">
      <c r="A4" s="261" t="s">
        <v>803</v>
      </c>
      <c r="B4" s="262"/>
      <c r="C4" s="268" t="s">
        <v>804</v>
      </c>
      <c r="D4" s="269"/>
      <c r="E4" s="269"/>
      <c r="F4" s="269"/>
      <c r="G4" s="269"/>
      <c r="H4" s="269"/>
      <c r="I4" s="269"/>
      <c r="J4" s="269"/>
      <c r="K4" s="269"/>
      <c r="L4" s="269"/>
      <c r="M4" s="269"/>
      <c r="N4" s="262"/>
    </row>
    <row r="5" spans="1:15" s="18" customFormat="1" ht="18" customHeight="1">
      <c r="A5" s="16"/>
      <c r="B5" s="15"/>
      <c r="C5" s="15"/>
      <c r="D5" s="15"/>
      <c r="E5" s="15"/>
      <c r="F5" s="263" t="s">
        <v>805</v>
      </c>
      <c r="G5" s="254"/>
      <c r="H5" s="15"/>
      <c r="I5" s="15"/>
      <c r="J5" s="15"/>
      <c r="K5" s="263" t="s">
        <v>806</v>
      </c>
      <c r="L5" s="253"/>
      <c r="M5" s="254"/>
      <c r="N5" s="15"/>
    </row>
    <row r="6" spans="1:15" s="23" customFormat="1" ht="48" customHeight="1">
      <c r="A6" s="19" t="s">
        <v>807</v>
      </c>
      <c r="B6" s="20" t="s">
        <v>808</v>
      </c>
      <c r="C6" s="20" t="s">
        <v>809</v>
      </c>
      <c r="D6" s="20" t="s">
        <v>30</v>
      </c>
      <c r="E6" s="20" t="s">
        <v>810</v>
      </c>
      <c r="F6" s="17" t="s">
        <v>811</v>
      </c>
      <c r="G6" s="21" t="s">
        <v>812</v>
      </c>
      <c r="H6" s="20" t="s">
        <v>813</v>
      </c>
      <c r="I6" s="20" t="s">
        <v>25</v>
      </c>
      <c r="J6" s="20" t="s">
        <v>814</v>
      </c>
      <c r="K6" s="22" t="s">
        <v>815</v>
      </c>
      <c r="L6" s="22" t="s">
        <v>816</v>
      </c>
      <c r="M6" s="22" t="s">
        <v>817</v>
      </c>
      <c r="N6" s="20" t="s">
        <v>818</v>
      </c>
      <c r="O6" s="23" t="s">
        <v>819</v>
      </c>
    </row>
    <row r="7" spans="1:15" ht="104.25" customHeight="1">
      <c r="A7" s="13" t="s">
        <v>7</v>
      </c>
      <c r="B7" s="13">
        <v>1</v>
      </c>
      <c r="C7" s="28" t="s">
        <v>822</v>
      </c>
      <c r="D7" s="24" t="s">
        <v>31</v>
      </c>
      <c r="E7" s="25" t="str">
        <f>IF($O7="","",IFERROR("Parte policial Nro. "&amp;SUBSTITUTE(INDEX(VEHICULOS!$N:$N,MATCH($O7,VEHICULOS!$F:$F,0)),"´","")&amp;", Hoja de Ingreso y Salida Nro. "&amp;TEXT(INDEX(VEHICULOS!$E:$E,MATCH($O7,VEHICULOS!$F:$F,0)),"0000000")&amp;", entregado al señor "&amp;INDEX(VEHICULOS!$P:$P,MATCH($O7,VEHICULOS!$F:$F,0))&amp;", con cédula "&amp;INDEX(VEHICULOS!$Z:$Z,MATCH($O7,VEHICULOS!$F:$F,0))&amp;" del Vehiculo Tipo "&amp;INDEX(VEHICULOS!$H:$H,MATCH($O7,VEHICULOS!$F:$F,0))&amp;" marca "&amp;INDEX(VEHICULOS!$G:$G,MATCH($O7,VEHICULOS!$F:$F,0))&amp;", color "&amp;INDEX(VEHICULOS!$J:$J,MATCH($O7,VEHICULOS!$F:$F,0))&amp;" con placas "&amp;$O7&amp;", por "&amp;INDEX(VEHICULOS!$Q:$Q,MATCH($O7,VEHICULOS!$F:$F,0))&amp;".","REVISAR: placa no encontrada en VEHICULOS"))</f>
        <v>Parte policial Nro. 202512071018484501, Hoja de Ingreso y Salida Nro. 0002031, entregado al señor ONTANEDA YEPEZ JORGE ANIBAL, con cédula 1711325496 del Vehiculo Tipo CISTERNA marca FORD, color BLANCO con placas PQF0838, por ACCIDENTE DE TRANSITO.</v>
      </c>
      <c r="F7" s="26">
        <f>IF($O7="","",IFERROR(INDEX(VEHICULOS!$D:$D,MATCH($O7,VEHICULOS!$F:$F,0)),""))</f>
        <v>45998</v>
      </c>
      <c r="G7" s="26">
        <f>IF($O7="","",IFERROR(INDEX(VEHICULOS!$V:$V,MATCH($O7,VEHICULOS!$F:$F,0)),""))</f>
        <v>46030</v>
      </c>
      <c r="H7" s="13">
        <v>18</v>
      </c>
      <c r="I7" s="13" t="s">
        <v>820</v>
      </c>
      <c r="J7" s="13" t="s">
        <v>821</v>
      </c>
      <c r="K7" s="4"/>
      <c r="L7" s="4"/>
      <c r="M7" s="27"/>
      <c r="N7" s="27"/>
      <c r="O7" t="s">
        <v>205</v>
      </c>
    </row>
    <row r="8" spans="1:15" ht="96" customHeight="1">
      <c r="A8" s="13" t="s">
        <v>7</v>
      </c>
      <c r="B8" s="13">
        <v>1</v>
      </c>
      <c r="C8" s="28" t="s">
        <v>823</v>
      </c>
      <c r="D8" s="24" t="s">
        <v>31</v>
      </c>
      <c r="E8" s="25" t="str">
        <f>IF($O8="","",IFERROR("Parte policial Nro. "&amp;SUBSTITUTE(INDEX(VEHICULOS!$N:$N,MATCH($O8,VEHICULOS!$F:$F,0)),"´","")&amp;", Hoja de Ingreso y Salida Nro. "&amp;TEXT(INDEX(VEHICULOS!$E:$E,MATCH($O8,VEHICULOS!$F:$F,0)),"0000000")&amp;", entregado al señor "&amp;INDEX(VEHICULOS!$P:$P,MATCH($O8,VEHICULOS!$F:$F,0))&amp;", con cédula "&amp;INDEX(VEHICULOS!$Z:$Z,MATCH($O8,VEHICULOS!$F:$F,0))&amp;" del Vehiculo Tipo "&amp;INDEX(VEHICULOS!$H:$H,MATCH($O8,VEHICULOS!$F:$F,0))&amp;" marca "&amp;INDEX(VEHICULOS!$G:$G,MATCH($O8,VEHICULOS!$F:$F,0))&amp;", color "&amp;INDEX(VEHICULOS!$J:$J,MATCH($O8,VEHICULOS!$F:$F,0))&amp;" con placas "&amp;$O8&amp;", por "&amp;INDEX(VEHICULOS!$Q:$Q,MATCH($O8,VEHICULOS!$F:$F,0))&amp;".","REVISAR: placa no encontrada en VEHICULOS"))</f>
        <v>Parte policial Nro. 2026011204060520618, Hoja de Ingreso y Salida Nro. 0002034, entregado al señor SABANDO ZAMBRANO MARIA FAVIOLA, con cédula 802191395 del Vehiculo Tipo BUS marca VOLSKWAGEN, color ANARANJADO con placas MAA3069, por ACCIDENTE DE TRANSITO.</v>
      </c>
      <c r="F8" s="26">
        <f>IF($O8="","",IFERROR(INDEX(VEHICULOS!$D:$D,MATCH($O8,VEHICULOS!$F:$F,0)),""))</f>
        <v>46034</v>
      </c>
      <c r="G8" s="26">
        <f>IF($O8="","",IFERROR(INDEX(VEHICULOS!$V:$V,MATCH($O8,VEHICULOS!$F:$F,0)),""))</f>
        <v>46042</v>
      </c>
      <c r="H8" s="13">
        <v>21</v>
      </c>
      <c r="I8" s="13" t="s">
        <v>820</v>
      </c>
      <c r="J8" s="13" t="s">
        <v>821</v>
      </c>
      <c r="K8" s="4"/>
      <c r="L8" s="4"/>
      <c r="M8" s="27"/>
      <c r="N8" s="27"/>
      <c r="O8" t="s">
        <v>220</v>
      </c>
    </row>
    <row r="9" spans="1:15" ht="81" customHeight="1">
      <c r="A9" s="13" t="s">
        <v>7</v>
      </c>
      <c r="B9" s="13">
        <v>1</v>
      </c>
      <c r="C9" s="28" t="s">
        <v>824</v>
      </c>
      <c r="D9" s="24" t="s">
        <v>31</v>
      </c>
      <c r="E9" s="25" t="str">
        <f>IF($O9="","",IFERROR("Parte policial Nro. "&amp;SUBSTITUTE(INDEX(VEHICULOS!$N:$N,MATCH($O9,VEHICULOS!$F:$F,0)),"´","")&amp;", Hoja de Ingreso y Salida Nro. "&amp;TEXT(INDEX(VEHICULOS!$E:$E,MATCH($O9,VEHICULOS!$F:$F,0)),"0000000")&amp;", entregado al señor "&amp;INDEX(VEHICULOS!$P:$P,MATCH($O9,VEHICULOS!$F:$F,0))&amp;", con cédula "&amp;INDEX(VEHICULOS!$Z:$Z,MATCH($O9,VEHICULOS!$F:$F,0))&amp;" del Vehiculo Tipo "&amp;INDEX(VEHICULOS!$H:$H,MATCH($O9,VEHICULOS!$F:$F,0))&amp;" marca "&amp;INDEX(VEHICULOS!$G:$G,MATCH($O9,VEHICULOS!$F:$F,0))&amp;", color "&amp;INDEX(VEHICULOS!$J:$J,MATCH($O9,VEHICULOS!$F:$F,0))&amp;" con placas "&amp;$O9&amp;", por "&amp;INDEX(VEHICULOS!$Q:$Q,MATCH($O9,VEHICULOS!$F:$F,0))&amp;".","REVISAR: placa no encontrada en VEHICULOS"))</f>
        <v>Parte policial Nro. 2026011602201191513, Hoja de Ingreso y Salida Nro. 0002035, entregado al señor CALDERON BRIONES JORGE LUIS, con cédula 1714373246 del Vehiculo Tipo VOLQUETA marca HINO, color AMARILLO con placas GBN5890, por ACCIDENTE DE TRANSITO.</v>
      </c>
      <c r="F9" s="26">
        <f>IF($O9="","",IFERROR(INDEX(VEHICULOS!$D:$D,MATCH($O9,VEHICULOS!$F:$F,0)),""))</f>
        <v>46038</v>
      </c>
      <c r="G9" s="26">
        <f>IF($O9="","",IFERROR(INDEX(VEHICULOS!$V:$V,MATCH($O9,VEHICULOS!$F:$F,0)),""))</f>
        <v>46042</v>
      </c>
      <c r="H9" s="13">
        <v>21</v>
      </c>
      <c r="I9" s="13" t="s">
        <v>820</v>
      </c>
      <c r="J9" s="13" t="s">
        <v>821</v>
      </c>
      <c r="K9" s="4"/>
      <c r="L9" s="4"/>
      <c r="M9" s="27"/>
      <c r="N9" s="27"/>
      <c r="O9" t="s">
        <v>235</v>
      </c>
    </row>
    <row r="10" spans="1:15" ht="67.5" customHeight="1">
      <c r="A10" s="13" t="s">
        <v>7</v>
      </c>
      <c r="B10" s="13">
        <v>1</v>
      </c>
      <c r="C10" s="28" t="s">
        <v>825</v>
      </c>
      <c r="D10" s="24" t="s">
        <v>31</v>
      </c>
      <c r="E10" s="25" t="str">
        <f>IF($O10="","",IFERROR("Parte policial Nro. "&amp;SUBSTITUTE(INDEX(VEHICULOS!$N:$N,MATCH($O10,VEHICULOS!$F:$F,0)),"´","")&amp;", Hoja de Ingreso y Salida Nro. "&amp;TEXT(INDEX(VEHICULOS!$E:$E,MATCH($O10,VEHICULOS!$F:$F,0)),"0000000")&amp;", entregado al señor "&amp;INDEX(VEHICULOS!$P:$P,MATCH($O10,VEHICULOS!$F:$F,0))&amp;", con cédula "&amp;INDEX(VEHICULOS!$Z:$Z,MATCH($O10,VEHICULOS!$F:$F,0))&amp;" del Vehiculo Tipo "&amp;INDEX(VEHICULOS!$H:$H,MATCH($O10,VEHICULOS!$F:$F,0))&amp;" marca "&amp;INDEX(VEHICULOS!$G:$G,MATCH($O10,VEHICULOS!$F:$F,0))&amp;", color "&amp;INDEX(VEHICULOS!$J:$J,MATCH($O10,VEHICULOS!$F:$F,0))&amp;" con placas "&amp;$O10&amp;", por "&amp;INDEX(VEHICULOS!$Q:$Q,MATCH($O10,VEHICULOS!$F:$F,0))&amp;".","REVISAR: placa no encontrada en VEHICULOS"))</f>
        <v>Parte policial Nro. 2026012408040460418, Hoja de Ingreso y Salida Nro. 0002036, entregado al señor CAIZALUIZA JURADO CARLOS, con cédula 1701212001 del Vehiculo Tipo BUS marca HINO, color AZUL con placas JAA3356, por ACCIDENTE DE TRANSITO.</v>
      </c>
      <c r="F10" s="26">
        <f>IF($O10="","",IFERROR(INDEX(VEHICULOS!$D:$D,MATCH($O10,VEHICULOS!$F:$F,0)),""))</f>
        <v>46046</v>
      </c>
      <c r="G10" s="26">
        <f>IF($O10="","",IFERROR(INDEX(VEHICULOS!$V:$V,MATCH($O10,VEHICULOS!$F:$F,0)),""))</f>
        <v>46058</v>
      </c>
      <c r="H10" s="13">
        <v>17</v>
      </c>
      <c r="I10" s="13" t="s">
        <v>820</v>
      </c>
      <c r="J10" s="13" t="s">
        <v>821</v>
      </c>
      <c r="K10" s="4"/>
      <c r="L10" s="4"/>
      <c r="M10" s="27"/>
      <c r="N10" s="27"/>
      <c r="O10" t="s">
        <v>250</v>
      </c>
    </row>
    <row r="11" spans="1:15" ht="81" customHeight="1">
      <c r="A11" s="13" t="s">
        <v>7</v>
      </c>
      <c r="B11" s="13">
        <v>1</v>
      </c>
      <c r="C11" s="28" t="s">
        <v>826</v>
      </c>
      <c r="D11" s="24" t="s">
        <v>31</v>
      </c>
      <c r="E11" s="25" t="str">
        <f>IF($O11="","",IFERROR("Parte policial Nro. "&amp;SUBSTITUTE(INDEX(VEHICULOS!$N:$N,MATCH($O11,VEHICULOS!$F:$F,0)),"´","")&amp;", Hoja de Ingreso y Salida Nro. "&amp;TEXT(INDEX(VEHICULOS!$E:$E,MATCH($O11,VEHICULOS!$F:$F,0)),"0000000")&amp;", entregado al señor "&amp;INDEX(VEHICULOS!$P:$P,MATCH($O11,VEHICULOS!$F:$F,0))&amp;", con cédula "&amp;INDEX(VEHICULOS!$Z:$Z,MATCH($O11,VEHICULOS!$F:$F,0))&amp;" del Vehiculo Tipo "&amp;INDEX(VEHICULOS!$H:$H,MATCH($O11,VEHICULOS!$F:$F,0))&amp;" marca "&amp;INDEX(VEHICULOS!$G:$G,MATCH($O11,VEHICULOS!$F:$F,0))&amp;", color "&amp;INDEX(VEHICULOS!$J:$J,MATCH($O11,VEHICULOS!$F:$F,0))&amp;" con placas "&amp;$O11&amp;", por "&amp;INDEX(VEHICULOS!$Q:$Q,MATCH($O11,VEHICULOS!$F:$F,0))&amp;".","REVISAR: placa no encontrada en VEHICULOS"))</f>
        <v>Parte policial Nro. 2026012700585644911, Hoja de Ingreso y Salida Nro. 0002037, entregado al señor QUIROLA VACA LUIS GONZALO, con cédula 12711739902 del Vehiculo Tipo PLATAFORMA marca SINOTRUK, color BLANCO con placas PAD2356, por ACCIDENTE DE TRANSITO.</v>
      </c>
      <c r="F11" s="26">
        <f>IF($O11="","",IFERROR(INDEX(VEHICULOS!$D:$D,MATCH($O11,VEHICULOS!$F:$F,0)),""))</f>
        <v>46049</v>
      </c>
      <c r="G11" s="26">
        <f>IF($O11="","",IFERROR(INDEX(VEHICULOS!$V:$V,MATCH($O11,VEHICULOS!$F:$F,0)),""))</f>
        <v>46066</v>
      </c>
      <c r="H11" s="13">
        <v>20</v>
      </c>
      <c r="I11" s="13" t="s">
        <v>820</v>
      </c>
      <c r="J11" s="13" t="s">
        <v>821</v>
      </c>
      <c r="K11" s="4"/>
      <c r="L11" s="4"/>
      <c r="M11" s="27"/>
      <c r="N11" s="27"/>
      <c r="O11" t="s">
        <v>259</v>
      </c>
    </row>
    <row r="12" spans="1:15" ht="81" customHeight="1">
      <c r="A12" s="13" t="s">
        <v>7</v>
      </c>
      <c r="B12" s="13">
        <v>1</v>
      </c>
      <c r="C12" s="28" t="s">
        <v>827</v>
      </c>
      <c r="D12" s="24" t="s">
        <v>31</v>
      </c>
      <c r="E12" s="25" t="str">
        <f>IF($O12="","",IFERROR("Parte policial Nro. "&amp;SUBSTITUTE(INDEX(VEHICULOS!$N:$N,MATCH($O12,VEHICULOS!$F:$F,0)),"´","")&amp;", Hoja de Ingreso y Salida Nro. "&amp;TEXT(INDEX(VEHICULOS!$E:$E,MATCH($O12,VEHICULOS!$F:$F,0)),"0000000")&amp;", entregado al señor "&amp;INDEX(VEHICULOS!$P:$P,MATCH($O12,VEHICULOS!$F:$F,0))&amp;", con cédula "&amp;INDEX(VEHICULOS!$Z:$Z,MATCH($O12,VEHICULOS!$F:$F,0))&amp;" del Vehiculo Tipo "&amp;INDEX(VEHICULOS!$H:$H,MATCH($O12,VEHICULOS!$F:$F,0))&amp;" marca "&amp;INDEX(VEHICULOS!$G:$G,MATCH($O12,VEHICULOS!$F:$F,0))&amp;", color "&amp;INDEX(VEHICULOS!$J:$J,MATCH($O12,VEHICULOS!$F:$F,0))&amp;" con placas "&amp;$O12&amp;", por "&amp;INDEX(VEHICULOS!$Q:$Q,MATCH($O12,VEHICULOS!$F:$F,0))&amp;".","REVISAR: placa no encontrada en VEHICULOS"))</f>
        <v>Parte policial Nro. 2026012700585644911, Hoja de Ingreso y Salida Nro. 0002038, entregado al señor COLCHA GUNSHA ERIK ALEXANDER, con cédula 0605787365 del Vehiculo Tipo CAMIÓN marca HINO, color BLANCO con placas IAK0630, por ACCIDENTE DE TRANSITO.</v>
      </c>
      <c r="F12" s="26">
        <f>IF($O12="","",IFERROR(INDEX(VEHICULOS!$D:$D,MATCH($O12,VEHICULOS!$F:$F,0)),""))</f>
        <v>46049</v>
      </c>
      <c r="G12" s="26">
        <f>IF($O12="","",IFERROR(INDEX(VEHICULOS!$V:$V,MATCH($O12,VEHICULOS!$F:$F,0)),""))</f>
        <v>46077</v>
      </c>
      <c r="H12" s="13">
        <v>17</v>
      </c>
      <c r="I12" s="13" t="s">
        <v>820</v>
      </c>
      <c r="J12" s="13" t="s">
        <v>821</v>
      </c>
      <c r="K12" s="4"/>
      <c r="L12" s="4"/>
      <c r="M12" s="27"/>
      <c r="N12" s="27"/>
      <c r="O12" t="s">
        <v>273</v>
      </c>
    </row>
    <row r="13" spans="1:15" ht="81" customHeight="1">
      <c r="A13" s="13" t="s">
        <v>7</v>
      </c>
      <c r="B13" s="13">
        <v>1</v>
      </c>
      <c r="C13" s="28" t="s">
        <v>828</v>
      </c>
      <c r="D13" s="24" t="s">
        <v>31</v>
      </c>
      <c r="E13" s="25" t="str">
        <f>IF($O13="","",IFERROR("Parte policial Nro. "&amp;SUBSTITUTE(INDEX(VEHICULOS!$N:$N,MATCH($O13,VEHICULOS!$F:$F,0)),"´","")&amp;", Hoja de Ingreso y Salida Nro. "&amp;TEXT(INDEX(VEHICULOS!$E:$E,MATCH($O13,VEHICULOS!$F:$F,0)),"0000000")&amp;", entregado al señor "&amp;INDEX(VEHICULOS!$P:$P,MATCH($O13,VEHICULOS!$F:$F,0))&amp;", con cédula "&amp;INDEX(VEHICULOS!$Z:$Z,MATCH($O13,VEHICULOS!$F:$F,0))&amp;" del Vehiculo Tipo "&amp;INDEX(VEHICULOS!$H:$H,MATCH($O13,VEHICULOS!$F:$F,0))&amp;" marca "&amp;INDEX(VEHICULOS!$G:$G,MATCH($O13,VEHICULOS!$F:$F,0))&amp;", color "&amp;INDEX(VEHICULOS!$J:$J,MATCH($O13,VEHICULOS!$F:$F,0))&amp;" con placas "&amp;$O13&amp;", por "&amp;INDEX(VEHICULOS!$Q:$Q,MATCH($O13,VEHICULOS!$F:$F,0))&amp;".","REVISAR: placa no encontrada en VEHICULOS"))</f>
        <v>Parte policial Nro. 2026013009255360000, Hoja de Ingreso y Salida Nro. 0002040, entregado al señor NUÑEZ MORENO JAIME PATRICIO, con cédula 1707104111 del Vehiculo Tipo FURGON marca HINO, color BLANCO con placas GBO7773, por ACCIDENTE DE TRANSITO.</v>
      </c>
      <c r="F13" s="26">
        <f>IF($O13="","",IFERROR(INDEX(VEHICULOS!$D:$D,MATCH($O13,VEHICULOS!$F:$F,0)),""))</f>
        <v>46052</v>
      </c>
      <c r="G13" s="26">
        <f>IF($O13="","",IFERROR(INDEX(VEHICULOS!$V:$V,MATCH($O13,VEHICULOS!$F:$F,0)),""))</f>
        <v>46077</v>
      </c>
      <c r="H13" s="13">
        <v>15</v>
      </c>
      <c r="I13" s="13" t="s">
        <v>820</v>
      </c>
      <c r="J13" s="13" t="s">
        <v>821</v>
      </c>
      <c r="K13" s="4"/>
      <c r="L13" s="4"/>
      <c r="M13" s="27"/>
      <c r="N13" s="27"/>
      <c r="O13" t="s">
        <v>293</v>
      </c>
    </row>
    <row r="14" spans="1:15" ht="81" customHeight="1">
      <c r="A14" s="13" t="s">
        <v>7</v>
      </c>
      <c r="B14" s="13">
        <v>1</v>
      </c>
      <c r="C14" s="28" t="s">
        <v>829</v>
      </c>
      <c r="D14" s="24" t="s">
        <v>31</v>
      </c>
      <c r="E14" s="25" t="str">
        <f>IF($O14="","",IFERROR("Parte policial Nro. "&amp;SUBSTITUTE(INDEX(VEHICULOS!$N:$N,MATCH($O14,VEHICULOS!$F:$F,0)),"´","")&amp;", Hoja de Ingreso y Salida Nro. "&amp;TEXT(INDEX(VEHICULOS!$E:$E,MATCH($O14,VEHICULOS!$F:$F,0)),"0000000")&amp;", entregado al señor "&amp;INDEX(VEHICULOS!$P:$P,MATCH($O14,VEHICULOS!$F:$F,0))&amp;", con cédula "&amp;INDEX(VEHICULOS!$Z:$Z,MATCH($O14,VEHICULOS!$F:$F,0))&amp;" del Vehiculo Tipo "&amp;INDEX(VEHICULOS!$H:$H,MATCH($O14,VEHICULOS!$F:$F,0))&amp;" marca "&amp;INDEX(VEHICULOS!$G:$G,MATCH($O14,VEHICULOS!$F:$F,0))&amp;", color "&amp;INDEX(VEHICULOS!$J:$J,MATCH($O14,VEHICULOS!$F:$F,0))&amp;" con placas "&amp;$O14&amp;", por "&amp;INDEX(VEHICULOS!$Q:$Q,MATCH($O14,VEHICULOS!$F:$F,0))&amp;".","REVISAR: placa no encontrada en VEHICULOS"))</f>
        <v>Parte policial Nro. 2026013009255363017, Hoja de Ingreso y Salida Nro. 0002041, entregado al señor PERALVO GARCIA MARCO VINIVIO, con cédula 1716186547 del Vehiculo Tipo TRACTO CAMIÓN marca KENWORTH, color NEGRO con placas PAB1690, por ACCIDENTE DE TRANSITO.</v>
      </c>
      <c r="F14" s="26">
        <f>IF($O14="","",IFERROR(INDEX(VEHICULOS!$D:$D,MATCH($O14,VEHICULOS!$F:$F,0)),""))</f>
        <v>46052</v>
      </c>
      <c r="G14" s="26">
        <f>IF($O14="","",IFERROR(INDEX(VEHICULOS!$V:$V,MATCH($O14,VEHICULOS!$F:$F,0)),""))</f>
        <v>46058</v>
      </c>
      <c r="H14" s="13">
        <v>17</v>
      </c>
      <c r="I14" s="13" t="s">
        <v>820</v>
      </c>
      <c r="J14" s="13" t="s">
        <v>821</v>
      </c>
      <c r="K14" s="4"/>
      <c r="L14" s="4"/>
      <c r="M14" s="27"/>
      <c r="N14" s="27"/>
      <c r="O14" t="s">
        <v>302</v>
      </c>
    </row>
    <row r="15" spans="1:15" ht="81" customHeight="1">
      <c r="A15" s="13" t="s">
        <v>7</v>
      </c>
      <c r="B15" s="13">
        <v>1</v>
      </c>
      <c r="C15" s="28" t="s">
        <v>830</v>
      </c>
      <c r="D15" s="24" t="s">
        <v>31</v>
      </c>
      <c r="E15" s="25" t="str">
        <f>IF($O15="","",IFERROR("Parte policial Nro. "&amp;SUBSTITUTE(INDEX(VEHICULOS!$N:$N,MATCH($O15,VEHICULOS!$F:$F,0)),"´","")&amp;", Hoja de Ingreso y Salida Nro. "&amp;TEXT(INDEX(VEHICULOS!$E:$E,MATCH($O15,VEHICULOS!$F:$F,0)),"0000000")&amp;", entregado al señor "&amp;INDEX(VEHICULOS!$P:$P,MATCH($O15,VEHICULOS!$F:$F,0))&amp;", con cédula "&amp;INDEX(VEHICULOS!$Z:$Z,MATCH($O15,VEHICULOS!$F:$F,0))&amp;" del Vehiculo Tipo "&amp;INDEX(VEHICULOS!$H:$H,MATCH($O15,VEHICULOS!$F:$F,0))&amp;" marca "&amp;INDEX(VEHICULOS!$G:$G,MATCH($O15,VEHICULOS!$F:$F,0))&amp;", color "&amp;INDEX(VEHICULOS!$J:$J,MATCH($O15,VEHICULOS!$F:$F,0))&amp;" con placas "&amp;$O15&amp;", por "&amp;INDEX(VEHICULOS!$Q:$Q,MATCH($O15,VEHICULOS!$F:$F,0))&amp;".","REVISAR: placa no encontrada en VEHICULOS"))</f>
        <v>Parte policial Nro. 2026020207283196113, Hoja de Ingreso y Salida Nro. 0002042, entregado al señor MEDINA AROCA LUIS DANIEL, con cédula 1717382491 del Vehiculo Tipo CANASTILLA marca JAC, color BLANCO con placas PAB3354, por ACCIDENTE DE TRANSITO.</v>
      </c>
      <c r="F15" s="26">
        <f>IF($O15="","",IFERROR(INDEX(VEHICULOS!$D:$D,MATCH($O15,VEHICULOS!$F:$F,0)),""))</f>
        <v>46055</v>
      </c>
      <c r="G15" s="26">
        <f>IF($O15="","",IFERROR(INDEX(VEHICULOS!$V:$V,MATCH($O15,VEHICULOS!$F:$F,0)),""))</f>
        <v>46094</v>
      </c>
      <c r="H15" s="13">
        <v>13</v>
      </c>
      <c r="I15" s="13" t="s">
        <v>820</v>
      </c>
      <c r="J15" s="13" t="s">
        <v>821</v>
      </c>
      <c r="K15" s="4"/>
      <c r="L15" s="4"/>
      <c r="M15" s="27"/>
      <c r="N15" s="27"/>
      <c r="O15" t="s">
        <v>314</v>
      </c>
    </row>
    <row r="16" spans="1:15" ht="81" customHeight="1">
      <c r="A16" s="13" t="s">
        <v>7</v>
      </c>
      <c r="B16" s="13">
        <v>1</v>
      </c>
      <c r="C16" s="28" t="s">
        <v>831</v>
      </c>
      <c r="D16" s="24" t="s">
        <v>31</v>
      </c>
      <c r="E16" s="25" t="str">
        <f>IF($O16="","",IFERROR("Parte policial Nro. "&amp;SUBSTITUTE(INDEX(VEHICULOS!$N:$N,MATCH($O16,VEHICULOS!$F:$F,0)),"´","")&amp;", Hoja de Ingreso y Salida Nro. "&amp;TEXT(INDEX(VEHICULOS!$E:$E,MATCH($O16,VEHICULOS!$F:$F,0)),"0000000")&amp;", entregado al señor "&amp;INDEX(VEHICULOS!$P:$P,MATCH($O16,VEHICULOS!$F:$F,0))&amp;", con cédula "&amp;INDEX(VEHICULOS!$Z:$Z,MATCH($O16,VEHICULOS!$F:$F,0))&amp;" del Vehiculo Tipo "&amp;INDEX(VEHICULOS!$H:$H,MATCH($O16,VEHICULOS!$F:$F,0))&amp;" marca "&amp;INDEX(VEHICULOS!$G:$G,MATCH($O16,VEHICULOS!$F:$F,0))&amp;", color "&amp;INDEX(VEHICULOS!$J:$J,MATCH($O16,VEHICULOS!$F:$F,0))&amp;" con placas "&amp;$O16&amp;", por "&amp;INDEX(VEHICULOS!$Q:$Q,MATCH($O16,VEHICULOS!$F:$F,0))&amp;".","REVISAR: placa no encontrada en VEHICULOS"))</f>
        <v>Parte policial Nro. 202602060046268501, Hoja de Ingreso y Salida Nro. 0002044, entregado al señor NELSON ENRIQUE REYES MENA, con cédula 0500450473 del Vehiculo Tipo FURGON marca NISSAN, color BLANCO con placas POT0362, por ACCIDENTE DE TRANSITO.</v>
      </c>
      <c r="F16" s="26">
        <f>IF($O16="","",IFERROR(INDEX(VEHICULOS!$D:$D,MATCH($O16,VEHICULOS!$F:$F,0)),""))</f>
        <v>46059</v>
      </c>
      <c r="G16" s="26">
        <f>IF($O16="","",IFERROR(INDEX(VEHICULOS!$V:$V,MATCH($O16,VEHICULOS!$F:$F,0)),""))</f>
        <v>46091</v>
      </c>
      <c r="H16" s="13">
        <v>20</v>
      </c>
      <c r="I16" s="13" t="s">
        <v>820</v>
      </c>
      <c r="J16" s="13" t="s">
        <v>821</v>
      </c>
      <c r="K16" s="4"/>
      <c r="L16" s="4"/>
      <c r="M16" s="27"/>
      <c r="N16" s="27"/>
      <c r="O16" t="s">
        <v>341</v>
      </c>
    </row>
    <row r="17" spans="1:15" ht="81" customHeight="1">
      <c r="A17" s="13" t="s">
        <v>7</v>
      </c>
      <c r="B17" s="13">
        <v>1</v>
      </c>
      <c r="C17" s="28" t="s">
        <v>832</v>
      </c>
      <c r="D17" s="24" t="s">
        <v>31</v>
      </c>
      <c r="E17" s="25" t="str">
        <f>IF($O17="","",IFERROR("Parte policial Nro. "&amp;SUBSTITUTE(INDEX(VEHICULOS!$N:$N,MATCH($O17,VEHICULOS!$F:$F,0)),"´","")&amp;", Hoja de Ingreso y Salida Nro. "&amp;TEXT(INDEX(VEHICULOS!$E:$E,MATCH($O17,VEHICULOS!$F:$F,0)),"0000000")&amp;", entregado al señor "&amp;INDEX(VEHICULOS!$P:$P,MATCH($O17,VEHICULOS!$F:$F,0))&amp;", con cédula "&amp;INDEX(VEHICULOS!$Z:$Z,MATCH($O17,VEHICULOS!$F:$F,0))&amp;" del Vehiculo Tipo "&amp;INDEX(VEHICULOS!$H:$H,MATCH($O17,VEHICULOS!$F:$F,0))&amp;" marca "&amp;INDEX(VEHICULOS!$G:$G,MATCH($O17,VEHICULOS!$F:$F,0))&amp;", color "&amp;INDEX(VEHICULOS!$J:$J,MATCH($O17,VEHICULOS!$F:$F,0))&amp;" con placas "&amp;$O17&amp;", por "&amp;INDEX(VEHICULOS!$Q:$Q,MATCH($O17,VEHICULOS!$F:$F,0))&amp;".","REVISAR: placa no encontrada en VEHICULOS"))</f>
        <v>Parte policial Nro. 2026021110150224117, Hoja de Ingreso y Salida Nro. 0002046, entregado al señor RODRIGUEZ YUQUI CARMEN AMELIA, con cédula 913220786 del Vehiculo Tipo FURGON marca JAC, color BLANCO con placas PAE5673, por ACCIDENTE DE TRANSITO.</v>
      </c>
      <c r="F17" s="26">
        <f>IF($O17="","",IFERROR(INDEX(VEHICULOS!$D:$D,MATCH($O17,VEHICULOS!$F:$F,0)),""))</f>
        <v>46064</v>
      </c>
      <c r="G17" s="26">
        <f>IF($O17="","",IFERROR(INDEX(VEHICULOS!$V:$V,MATCH($O17,VEHICULOS!$F:$F,0)),""))</f>
        <v>46086</v>
      </c>
      <c r="H17" s="13">
        <v>15</v>
      </c>
      <c r="I17" s="13" t="s">
        <v>820</v>
      </c>
      <c r="J17" s="13" t="s">
        <v>821</v>
      </c>
      <c r="K17" s="4"/>
      <c r="L17" s="4"/>
      <c r="M17" s="27"/>
      <c r="N17" s="27"/>
      <c r="O17" t="s">
        <v>364</v>
      </c>
    </row>
    <row r="18" spans="1:15" ht="81" customHeight="1">
      <c r="A18" s="13" t="s">
        <v>7</v>
      </c>
      <c r="B18" s="13">
        <v>1</v>
      </c>
      <c r="C18" s="28" t="s">
        <v>833</v>
      </c>
      <c r="D18" s="24" t="s">
        <v>31</v>
      </c>
      <c r="E18" s="25" t="str">
        <f>IF($O18="","",IFERROR("Parte policial Nro. "&amp;SUBSTITUTE(INDEX(VEHICULOS!$N:$N,MATCH($O18,VEHICULOS!$F:$F,0)),"´","")&amp;", Hoja de Ingreso y Salida Nro. "&amp;TEXT(INDEX(VEHICULOS!$E:$E,MATCH($O18,VEHICULOS!$F:$F,0)),"0000000")&amp;", entregado al señor "&amp;INDEX(VEHICULOS!$P:$P,MATCH($O18,VEHICULOS!$F:$F,0))&amp;", con cédula "&amp;INDEX(VEHICULOS!$Z:$Z,MATCH($O18,VEHICULOS!$F:$F,0))&amp;" del Vehiculo Tipo "&amp;INDEX(VEHICULOS!$H:$H,MATCH($O18,VEHICULOS!$F:$F,0))&amp;" marca "&amp;INDEX(VEHICULOS!$G:$G,MATCH($O18,VEHICULOS!$F:$F,0))&amp;", color "&amp;INDEX(VEHICULOS!$J:$J,MATCH($O18,VEHICULOS!$F:$F,0))&amp;" con placas "&amp;$O18&amp;", por "&amp;INDEX(VEHICULOS!$Q:$Q,MATCH($O18,VEHICULOS!$F:$F,0))&amp;".","REVISAR: placa no encontrada en VEHICULOS"))</f>
        <v>Parte policial Nro. 2026021110150224117, Hoja de Ingreso y Salida Nro. 0002047, entregado al señor RAMOS ARGUELLO HOLGER ROLANDO, con cédula 201455029 del Vehiculo Tipo TRACTO CAMIÓN marca FOTON, color AMARILLO con placas RAA6300, por ACCIDENTE DE TRANSITO.</v>
      </c>
      <c r="F18" s="26">
        <f>IF($O18="","",IFERROR(INDEX(VEHICULOS!$D:$D,MATCH($O18,VEHICULOS!$F:$F,0)),""))</f>
        <v>46064</v>
      </c>
      <c r="G18" s="26">
        <f>IF($O18="","",IFERROR(INDEX(VEHICULOS!$V:$V,MATCH($O18,VEHICULOS!$F:$F,0)),""))</f>
        <v>46085</v>
      </c>
      <c r="H18" s="13">
        <v>17</v>
      </c>
      <c r="I18" s="13" t="s">
        <v>820</v>
      </c>
      <c r="J18" s="13" t="s">
        <v>821</v>
      </c>
      <c r="K18" s="4"/>
      <c r="L18" s="4"/>
      <c r="M18" s="27"/>
      <c r="N18" s="27"/>
      <c r="O18" t="s">
        <v>371</v>
      </c>
    </row>
    <row r="19" spans="1:15" ht="81" customHeight="1">
      <c r="A19" s="13" t="s">
        <v>7</v>
      </c>
      <c r="B19" s="13">
        <v>1</v>
      </c>
      <c r="C19" s="28" t="s">
        <v>834</v>
      </c>
      <c r="D19" s="24" t="s">
        <v>31</v>
      </c>
      <c r="E19" s="25" t="str">
        <f>IF($O19="","",IFERROR("Parte policial Nro. "&amp;SUBSTITUTE(INDEX(VEHICULOS!$N:$N,MATCH($O19,VEHICULOS!$F:$F,0)),"´","")&amp;", Hoja de Ingreso y Salida Nro. "&amp;TEXT(INDEX(VEHICULOS!$E:$E,MATCH($O19,VEHICULOS!$F:$F,0)),"0000000")&amp;", entregado al señor "&amp;INDEX(VEHICULOS!$P:$P,MATCH($O19,VEHICULOS!$F:$F,0))&amp;", con cédula "&amp;INDEX(VEHICULOS!$Z:$Z,MATCH($O19,VEHICULOS!$F:$F,0))&amp;" del Vehiculo Tipo "&amp;INDEX(VEHICULOS!$H:$H,MATCH($O19,VEHICULOS!$F:$F,0))&amp;" marca "&amp;INDEX(VEHICULOS!$G:$G,MATCH($O19,VEHICULOS!$F:$F,0))&amp;", color "&amp;INDEX(VEHICULOS!$J:$J,MATCH($O19,VEHICULOS!$F:$F,0))&amp;" con placas "&amp;$O19&amp;", por "&amp;INDEX(VEHICULOS!$Q:$Q,MATCH($O19,VEHICULOS!$F:$F,0))&amp;".","REVISAR: placa no encontrada en VEHICULOS"))</f>
        <v>Parte policial Nro. 2026022101231431508, Hoja de Ingreso y Salida Nro. 0002048, entregado al señor JIMENEZ VACA LEONEL ISRAEL, con cédula 503404246 del Vehiculo Tipo TRACTO CAMIÓN marca HINO, color BLANCO con placas PCD3784, por ACCIDENTE DE TRANSITO.</v>
      </c>
      <c r="F19" s="26">
        <f>IF($O19="","",IFERROR(INDEX(VEHICULOS!$D:$D,MATCH($O19,VEHICULOS!$F:$F,0)),""))</f>
        <v>46074</v>
      </c>
      <c r="G19" s="26">
        <f>IF($O19="","",IFERROR(INDEX(VEHICULOS!$V:$V,MATCH($O19,VEHICULOS!$F:$F,0)),""))</f>
        <v>46080</v>
      </c>
      <c r="H19" s="13">
        <v>21</v>
      </c>
      <c r="I19" s="13" t="s">
        <v>820</v>
      </c>
      <c r="J19" s="13" t="s">
        <v>821</v>
      </c>
      <c r="K19" s="4"/>
      <c r="L19" s="4"/>
      <c r="M19" s="27"/>
      <c r="N19" s="27"/>
      <c r="O19" t="s">
        <v>378</v>
      </c>
    </row>
    <row r="20" spans="1:15" ht="81" customHeight="1">
      <c r="A20" s="13" t="s">
        <v>7</v>
      </c>
      <c r="B20" s="13">
        <v>1</v>
      </c>
      <c r="C20" s="28" t="s">
        <v>835</v>
      </c>
      <c r="D20" s="24" t="s">
        <v>31</v>
      </c>
      <c r="E20" s="25" t="str">
        <f>IF($O20="","",IFERROR("Parte policial Nro. "&amp;SUBSTITUTE(INDEX(VEHICULOS!$N:$N,MATCH($O20,VEHICULOS!$F:$F,0)),"´","")&amp;", Hoja de Ingreso y Salida Nro. "&amp;TEXT(INDEX(VEHICULOS!$E:$E,MATCH($O20,VEHICULOS!$F:$F,0)),"0000000")&amp;", entregado al señor "&amp;INDEX(VEHICULOS!$P:$P,MATCH($O20,VEHICULOS!$F:$F,0))&amp;", con cédula "&amp;INDEX(VEHICULOS!$Z:$Z,MATCH($O20,VEHICULOS!$F:$F,0))&amp;" del Vehiculo Tipo "&amp;INDEX(VEHICULOS!$H:$H,MATCH($O20,VEHICULOS!$F:$F,0))&amp;" marca "&amp;INDEX(VEHICULOS!$G:$G,MATCH($O20,VEHICULOS!$F:$F,0))&amp;", color "&amp;INDEX(VEHICULOS!$J:$J,MATCH($O20,VEHICULOS!$F:$F,0))&amp;" con placas "&amp;$O20&amp;", por "&amp;INDEX(VEHICULOS!$Q:$Q,MATCH($O20,VEHICULOS!$F:$F,0))&amp;".","REVISAR: placa no encontrada en VEHICULOS"))</f>
        <v>Parte policial Nro. 2026022607544979807, Hoja de Ingreso y Salida Nro. 0002049, entregado al señor ALCOCER ZAPATA LUIS GUSTAVO, con cédula 1710361179 del Vehiculo Tipo FURGON marca HINO, color BLANCO con placas PAB7793, por ACCIDENTE DE TRANSITO.</v>
      </c>
      <c r="F20" s="26">
        <f>IF($O20="","",IFERROR(INDEX(VEHICULOS!$D:$D,MATCH($O20,VEHICULOS!$F:$F,0)),""))</f>
        <v>46078</v>
      </c>
      <c r="G20" s="26">
        <f>IF($O20="","",IFERROR(INDEX(VEHICULOS!$V:$V,MATCH($O20,VEHICULOS!$F:$F,0)),""))</f>
        <v>46093</v>
      </c>
      <c r="H20" s="13">
        <v>19</v>
      </c>
      <c r="I20" s="13" t="s">
        <v>820</v>
      </c>
      <c r="J20" s="13" t="s">
        <v>821</v>
      </c>
      <c r="K20" s="4"/>
      <c r="L20" s="4"/>
      <c r="M20" s="27"/>
      <c r="N20" s="27" t="s">
        <v>836</v>
      </c>
      <c r="O20" t="s">
        <v>397</v>
      </c>
    </row>
    <row r="21" spans="1:15" ht="81" customHeight="1">
      <c r="A21" s="13" t="s">
        <v>7</v>
      </c>
      <c r="B21" s="13">
        <v>1</v>
      </c>
      <c r="C21" s="28" t="s">
        <v>837</v>
      </c>
      <c r="D21" s="24" t="s">
        <v>31</v>
      </c>
      <c r="E21" s="25" t="str">
        <f>IF($O21="","",IFERROR("Parte policial Nro. "&amp;SUBSTITUTE(INDEX(VEHICULOS!$N:$N,MATCH($O21,VEHICULOS!$F:$F,0)),"´","")&amp;", Hoja de Ingreso y Salida Nro. "&amp;TEXT(INDEX(VEHICULOS!$E:$E,MATCH($O21,VEHICULOS!$F:$F,0)),"0000000")&amp;", entregado al señor "&amp;INDEX(VEHICULOS!$P:$P,MATCH($O21,VEHICULOS!$F:$F,0))&amp;", con cédula "&amp;INDEX(VEHICULOS!$Z:$Z,MATCH($O21,VEHICULOS!$F:$F,0))&amp;" del Vehiculo Tipo "&amp;INDEX(VEHICULOS!$H:$H,MATCH($O21,VEHICULOS!$F:$F,0))&amp;" marca "&amp;INDEX(VEHICULOS!$G:$G,MATCH($O21,VEHICULOS!$F:$F,0))&amp;", color "&amp;INDEX(VEHICULOS!$J:$J,MATCH($O21,VEHICULOS!$F:$F,0))&amp;" con placas "&amp;$O21&amp;", por "&amp;INDEX(VEHICULOS!$Q:$Q,MATCH($O21,VEHICULOS!$F:$F,0))&amp;".","REVISAR: placa no encontrada en VEHICULOS"))</f>
        <v>Parte policial Nro. 2026022802031976305, Hoja de Ingreso y Salida Nro. 0002051, entregado al señor VILATUÑA PINTO LIVIA MARUJA, con cédula 1704123031 del Vehiculo Tipo AUTOBUS marca VOLKSWAGEN, color AZUL con placas EAA1221, por ACCIDENTE DE TRANSITO.</v>
      </c>
      <c r="F21" s="26">
        <f>IF($O21="","",IFERROR(INDEX(VEHICULOS!$D:$D,MATCH($O21,VEHICULOS!$F:$F,0)),""))</f>
        <v>46081</v>
      </c>
      <c r="G21" s="26">
        <f>IF($O21="","",IFERROR(INDEX(VEHICULOS!$V:$V,MATCH($O21,VEHICULOS!$F:$F,0)),""))</f>
        <v>46101</v>
      </c>
      <c r="H21" s="13">
        <v>17</v>
      </c>
      <c r="I21" s="13" t="s">
        <v>820</v>
      </c>
      <c r="J21" s="13" t="s">
        <v>821</v>
      </c>
      <c r="K21" s="4"/>
      <c r="L21" s="4"/>
      <c r="M21" s="27"/>
      <c r="N21" s="27"/>
      <c r="O21" t="s">
        <v>406</v>
      </c>
    </row>
    <row r="22" spans="1:15" ht="81" customHeight="1">
      <c r="A22" s="13" t="s">
        <v>7</v>
      </c>
      <c r="B22" s="13">
        <v>1</v>
      </c>
      <c r="C22" s="28" t="s">
        <v>838</v>
      </c>
      <c r="D22" s="24" t="s">
        <v>31</v>
      </c>
      <c r="E22" s="25" t="str">
        <f>IF($O22="","",IFERROR("Parte policial Nro. "&amp;SUBSTITUTE(INDEX(VEHICULOS!$N:$N,MATCH($O22,VEHICULOS!$F:$F,0)),"´","")&amp;", Hoja de Ingreso y Salida Nro. "&amp;TEXT(INDEX(VEHICULOS!$E:$E,MATCH($O22,VEHICULOS!$F:$F,0)),"0000000")&amp;", entregado al señor "&amp;INDEX(VEHICULOS!$P:$P,MATCH($O22,VEHICULOS!$F:$F,0))&amp;", con cédula "&amp;INDEX(VEHICULOS!$Z:$Z,MATCH($O22,VEHICULOS!$F:$F,0))&amp;" del Vehiculo Tipo "&amp;INDEX(VEHICULOS!$H:$H,MATCH($O22,VEHICULOS!$F:$F,0))&amp;" marca "&amp;INDEX(VEHICULOS!$G:$G,MATCH($O22,VEHICULOS!$F:$F,0))&amp;", color "&amp;INDEX(VEHICULOS!$J:$J,MATCH($O22,VEHICULOS!$F:$F,0))&amp;" con placas "&amp;$O22&amp;", por "&amp;INDEX(VEHICULOS!$Q:$Q,MATCH($O22,VEHICULOS!$F:$F,0))&amp;".","REVISAR: placa no encontrada en VEHICULOS"))</f>
        <v>Parte policial Nro. 2026030607392661603, Hoja de Ingreso y Salida Nro. 0002052, entregado al señor CHACON MOLINA PABLO ALFREDO, con cédula ´0502119522 del Vehiculo Tipo TRACTO CAMIÓN marca KENWORTH, color ANARANJADO con placas XAA1180, por ACCIDENTE DE TRANSITO.</v>
      </c>
      <c r="F22" s="26">
        <f>IF($O22="","",IFERROR(INDEX(VEHICULOS!$D:$D,MATCH($O22,VEHICULOS!$F:$F,0)),""))</f>
        <v>46087</v>
      </c>
      <c r="G22" s="26">
        <f>IF($O22="","",IFERROR(INDEX(VEHICULOS!$V:$V,MATCH($O22,VEHICULOS!$F:$F,0)),""))</f>
        <v>46093</v>
      </c>
      <c r="H22" s="13">
        <v>22</v>
      </c>
      <c r="I22" s="13" t="s">
        <v>820</v>
      </c>
      <c r="J22" s="13" t="s">
        <v>821</v>
      </c>
      <c r="K22" s="4"/>
      <c r="L22" s="4"/>
      <c r="M22" s="27"/>
      <c r="N22" s="27"/>
      <c r="O22" t="s">
        <v>416</v>
      </c>
    </row>
    <row r="23" spans="1:15" ht="68.25" customHeight="1">
      <c r="A23" s="13" t="s">
        <v>7</v>
      </c>
      <c r="B23" s="13">
        <v>1</v>
      </c>
      <c r="C23" s="28" t="s">
        <v>839</v>
      </c>
      <c r="D23" s="24" t="s">
        <v>31</v>
      </c>
      <c r="E23" s="25" t="str">
        <f>IF($O23="","",IFERROR("Parte policial Nro. "&amp;SUBSTITUTE(INDEX(VEHICULOS!$N:$N,MATCH($O23,VEHICULOS!$F:$F,0)),"´","")&amp;", Hoja de Ingreso y Salida Nro. "&amp;TEXT(INDEX(VEHICULOS!$E:$E,MATCH($O23,VEHICULOS!$F:$F,0)),"0000000")&amp;", entregado al señor "&amp;INDEX(VEHICULOS!$P:$P,MATCH($O23,VEHICULOS!$F:$F,0))&amp;", con cédula "&amp;INDEX(VEHICULOS!$Z:$Z,MATCH($O23,VEHICULOS!$F:$F,0))&amp;" del Vehiculo Tipo "&amp;INDEX(VEHICULOS!$H:$H,MATCH($O23,VEHICULOS!$F:$F,0))&amp;" marca "&amp;INDEX(VEHICULOS!$G:$G,MATCH($O23,VEHICULOS!$F:$F,0))&amp;", color "&amp;INDEX(VEHICULOS!$J:$J,MATCH($O23,VEHICULOS!$F:$F,0))&amp;" con placas "&amp;$O23&amp;", por "&amp;INDEX(VEHICULOS!$Q:$Q,MATCH($O23,VEHICULOS!$F:$F,0))&amp;".","REVISAR: placa no encontrada en VEHICULOS"))</f>
        <v>Parte policial Nro. 2026031001195636511, Hoja de Ingreso y Salida Nro. 0002053, entregado al señor MONTERO PINOS EDUARDO ANGEL, con cédula 1500421878 del Vehiculo Tipo BUS marca HINO, color AZUL con placas JAA1725, por ACCIDENTE DE TRANSITO.</v>
      </c>
      <c r="F23" s="26">
        <f>IF($O23="","",IFERROR(INDEX(VEHICULOS!$D:$D,MATCH($O23,VEHICULOS!$F:$F,0)),""))</f>
        <v>46091</v>
      </c>
      <c r="G23" s="26">
        <f>IF($O23="","",IFERROR(INDEX(VEHICULOS!$V:$V,MATCH($O23,VEHICULOS!$F:$F,0)),""))</f>
        <v>46093</v>
      </c>
      <c r="H23" s="13">
        <v>21</v>
      </c>
      <c r="I23" s="13" t="s">
        <v>820</v>
      </c>
      <c r="J23" s="13" t="s">
        <v>821</v>
      </c>
      <c r="K23" s="4"/>
      <c r="L23" s="4"/>
      <c r="M23" s="27"/>
      <c r="N23" s="27"/>
      <c r="O23" t="s">
        <v>426</v>
      </c>
    </row>
    <row r="24" spans="1:15" ht="81" customHeight="1">
      <c r="A24" s="13" t="s">
        <v>7</v>
      </c>
      <c r="B24" s="13">
        <v>1</v>
      </c>
      <c r="C24" s="28" t="s">
        <v>840</v>
      </c>
      <c r="D24" s="24" t="s">
        <v>31</v>
      </c>
      <c r="E24" s="25" t="str">
        <f>IF($O24="","",IFERROR("Parte policial Nro. "&amp;SUBSTITUTE(INDEX(VEHICULOS!$N:$N,MATCH($O24,VEHICULOS!$F:$F,0)),"´","")&amp;", Hoja de Ingreso y Salida Nro. "&amp;TEXT(INDEX(VEHICULOS!$E:$E,MATCH($O24,VEHICULOS!$F:$F,0)),"0000000")&amp;", entregado al señor "&amp;INDEX(VEHICULOS!$P:$P,MATCH($O24,VEHICULOS!$F:$F,0))&amp;", con cédula "&amp;INDEX(VEHICULOS!$Z:$Z,MATCH($O24,VEHICULOS!$F:$F,0))&amp;" del Vehiculo Tipo "&amp;INDEX(VEHICULOS!$H:$H,MATCH($O24,VEHICULOS!$F:$F,0))&amp;" marca "&amp;INDEX(VEHICULOS!$G:$G,MATCH($O24,VEHICULOS!$F:$F,0))&amp;", color "&amp;INDEX(VEHICULOS!$J:$J,MATCH($O24,VEHICULOS!$F:$F,0))&amp;" con placas "&amp;$O24&amp;", por "&amp;INDEX(VEHICULOS!$Q:$Q,MATCH($O24,VEHICULOS!$F:$F,0))&amp;".","REVISAR: placa no encontrada en VEHICULOS"))</f>
        <v>Parte policial Nro. 202603130919564104, Hoja de Ingreso y Salida Nro. 0002054, entregado al señor CHINGAL ZUÑIGA DALY VANESSA, con cédula 1758756249 del Vehiculo Tipo CAMIÓN marca CHEVROLET, color BLANCO con placas IBA1861, por ACCIDENTE DE TRANSITO.</v>
      </c>
      <c r="F24" s="26">
        <f>IF($O24="","",IFERROR(INDEX(VEHICULOS!$D:$D,MATCH($O24,VEHICULOS!$F:$F,0)),""))</f>
        <v>46094</v>
      </c>
      <c r="G24" s="26">
        <f>IF($O24="","",IFERROR(INDEX(VEHICULOS!$V:$V,MATCH($O24,VEHICULOS!$F:$F,0)),""))</f>
        <v>46100</v>
      </c>
      <c r="H24" s="13">
        <v>15</v>
      </c>
      <c r="I24" s="13" t="s">
        <v>820</v>
      </c>
      <c r="J24" s="13" t="s">
        <v>821</v>
      </c>
      <c r="K24" s="4"/>
      <c r="L24" s="4"/>
      <c r="M24" s="27"/>
      <c r="N24" s="27"/>
      <c r="O24" t="s">
        <v>433</v>
      </c>
    </row>
    <row r="25" spans="1:15" ht="81" customHeight="1">
      <c r="A25" s="13" t="s">
        <v>7</v>
      </c>
      <c r="B25" s="13">
        <v>1</v>
      </c>
      <c r="C25" s="28" t="s">
        <v>841</v>
      </c>
      <c r="D25" s="24" t="s">
        <v>31</v>
      </c>
      <c r="E25" s="25" t="str">
        <f>IF($O25="","",IFERROR("Parte policial Nro. "&amp;SUBSTITUTE(INDEX(VEHICULOS!$N:$N,MATCH($O25,VEHICULOS!$F:$F,0)),"´","")&amp;", Hoja de Ingreso y Salida Nro. "&amp;TEXT(INDEX(VEHICULOS!$E:$E,MATCH($O25,VEHICULOS!$F:$F,0)),"0000000")&amp;", entregado al señor "&amp;INDEX(VEHICULOS!$P:$P,MATCH($O25,VEHICULOS!$F:$F,0))&amp;", con cédula "&amp;INDEX(VEHICULOS!$Z:$Z,MATCH($O25,VEHICULOS!$F:$F,0))&amp;" del Vehiculo Tipo "&amp;INDEX(VEHICULOS!$H:$H,MATCH($O25,VEHICULOS!$F:$F,0))&amp;" marca "&amp;INDEX(VEHICULOS!$G:$G,MATCH($O25,VEHICULOS!$F:$F,0))&amp;", color "&amp;INDEX(VEHICULOS!$J:$J,MATCH($O25,VEHICULOS!$F:$F,0))&amp;" con placas "&amp;$O25&amp;", por "&amp;INDEX(VEHICULOS!$Q:$Q,MATCH($O25,VEHICULOS!$F:$F,0))&amp;".","REVISAR: placa no encontrada en VEHICULOS"))</f>
        <v>Parte policial Nro. 202603130919564104, Hoja de Ingreso y Salida Nro. 0002055, entregado al señor PERALVO GARCIA MARCO VINIVIO, con cédula 1716186547 del Vehiculo Tipo TRACTO CAMIÓN marca KENWORTH, color AZUL con placas PAE1001, por ACCIDENTE DE TRANSITO.</v>
      </c>
      <c r="F25" s="26">
        <f>IF($O25="","",IFERROR(INDEX(VEHICULOS!$D:$D,MATCH($O25,VEHICULOS!$F:$F,0)),""))</f>
        <v>46094</v>
      </c>
      <c r="G25" s="26">
        <f>IF($O25="","",IFERROR(INDEX(VEHICULOS!$V:$V,MATCH($O25,VEHICULOS!$F:$F,0)),""))</f>
        <v>46100</v>
      </c>
      <c r="H25" s="13">
        <v>15</v>
      </c>
      <c r="I25" s="13" t="s">
        <v>820</v>
      </c>
      <c r="J25" s="13" t="s">
        <v>821</v>
      </c>
      <c r="K25" s="4"/>
      <c r="L25" s="4"/>
      <c r="M25" s="27"/>
      <c r="N25" s="27"/>
      <c r="O25" t="s">
        <v>441</v>
      </c>
    </row>
    <row r="26" spans="1:15" ht="81" customHeight="1">
      <c r="A26" s="13" t="s">
        <v>7</v>
      </c>
      <c r="B26" s="13">
        <v>1</v>
      </c>
      <c r="C26" s="28" t="s">
        <v>842</v>
      </c>
      <c r="D26" s="24" t="s">
        <v>31</v>
      </c>
      <c r="E26" s="25" t="str">
        <f>IF($O26="","",IFERROR("Parte policial Nro. "&amp;SUBSTITUTE(INDEX(VEHICULOS!$N:$N,MATCH($O26,VEHICULOS!$F:$F,0)),"´","")&amp;", Hoja de Ingreso y Salida Nro. "&amp;TEXT(INDEX(VEHICULOS!$E:$E,MATCH($O26,VEHICULOS!$F:$F,0)),"0000000")&amp;", entregado al señor "&amp;INDEX(VEHICULOS!$P:$P,MATCH($O26,VEHICULOS!$F:$F,0))&amp;", con cédula "&amp;INDEX(VEHICULOS!$Z:$Z,MATCH($O26,VEHICULOS!$F:$F,0))&amp;" del Vehiculo Tipo "&amp;INDEX(VEHICULOS!$H:$H,MATCH($O26,VEHICULOS!$F:$F,0))&amp;" marca "&amp;INDEX(VEHICULOS!$G:$G,MATCH($O26,VEHICULOS!$F:$F,0))&amp;", color "&amp;INDEX(VEHICULOS!$J:$J,MATCH($O26,VEHICULOS!$F:$F,0))&amp;" con placas "&amp;$O26&amp;", por "&amp;INDEX(VEHICULOS!$Q:$Q,MATCH($O26,VEHICULOS!$F:$F,0))&amp;".","REVISAR: placa no encontrada en VEHICULOS"))</f>
        <v>Parte policial Nro. 202603140924020503, Hoja de Ingreso y Salida Nro. 0002056, entregado al señor HARO OÑATE MARTHA CECILIA, con cédula ´0601972102 del Vehiculo Tipo BUS marca HINO, color PLATEADO con placas JAA3530, por ACCIDENTE DE TRANSITO.</v>
      </c>
      <c r="F26" s="26">
        <f>IF($O26="","",IFERROR(INDEX(VEHICULOS!$D:$D,MATCH($O26,VEHICULOS!$F:$F,0)),""))</f>
        <v>46095</v>
      </c>
      <c r="G26" s="26">
        <f>IF($O26="","",IFERROR(INDEX(VEHICULOS!$V:$V,MATCH($O26,VEHICULOS!$F:$F,0)),""))</f>
        <v>46101</v>
      </c>
      <c r="H26" s="13">
        <v>19</v>
      </c>
      <c r="I26" s="13" t="s">
        <v>820</v>
      </c>
      <c r="J26" s="13" t="s">
        <v>821</v>
      </c>
      <c r="K26" s="4"/>
      <c r="L26" s="4"/>
      <c r="M26" s="27"/>
      <c r="N26" s="27"/>
      <c r="O26" t="s">
        <v>446</v>
      </c>
    </row>
    <row r="27" spans="1:15" ht="81" customHeight="1">
      <c r="A27" s="13" t="s">
        <v>7</v>
      </c>
      <c r="B27" s="13">
        <v>1</v>
      </c>
      <c r="C27" s="28" t="s">
        <v>843</v>
      </c>
      <c r="D27" s="24" t="s">
        <v>31</v>
      </c>
      <c r="E27" s="25" t="str">
        <f>IF($O27="","",IFERROR("Parte policial Nro. "&amp;SUBSTITUTE(INDEX(VEHICULOS!$N:$N,MATCH($O27,VEHICULOS!$F:$F,0)),"´","")&amp;", Hoja de Ingreso y Salida Nro. "&amp;TEXT(INDEX(VEHICULOS!$E:$E,MATCH($O27,VEHICULOS!$F:$F,0)),"0000000")&amp;", entregado al señor "&amp;INDEX(VEHICULOS!$P:$P,MATCH($O27,VEHICULOS!$F:$F,0))&amp;", con cédula "&amp;INDEX(VEHICULOS!$Z:$Z,MATCH($O27,VEHICULOS!$F:$F,0))&amp;" del Vehiculo Tipo "&amp;INDEX(VEHICULOS!$H:$H,MATCH($O27,VEHICULOS!$F:$F,0))&amp;" marca "&amp;INDEX(VEHICULOS!$G:$G,MATCH($O27,VEHICULOS!$F:$F,0))&amp;", color "&amp;INDEX(VEHICULOS!$J:$J,MATCH($O27,VEHICULOS!$F:$F,0))&amp;" con placas "&amp;$O27&amp;", por "&amp;INDEX(VEHICULOS!$Q:$Q,MATCH($O27,VEHICULOS!$F:$F,0))&amp;".","REVISAR: placa no encontrada en VEHICULOS"))</f>
        <v>Parte policial Nro. 2026013009255363017, Hoja de Ingreso y Salida Nro. 0002039, entregado al señor CAIZAGUANO CHICAIZA ANGEL DIEGO, con cédula 0604415398 del Vehiculo Tipo CAMIÓN marca HINO, color AZUL con placas GPX0484, por ACCIDENTE DE TRANSITO.</v>
      </c>
      <c r="F27" s="26">
        <f>IF($O27="","",IFERROR(INDEX(VEHICULOS!$D:$D,MATCH($O27,VEHICULOS!$F:$F,0)),""))</f>
        <v>46052</v>
      </c>
      <c r="G27" s="26">
        <f>IF($O27="","",IFERROR(INDEX(VEHICULOS!$V:$V,MATCH($O27,VEHICULOS!$F:$F,0)),""))</f>
        <v>46101</v>
      </c>
      <c r="H27" s="13">
        <v>28</v>
      </c>
      <c r="I27" s="13" t="s">
        <v>820</v>
      </c>
      <c r="J27" s="13" t="s">
        <v>821</v>
      </c>
      <c r="K27" s="4"/>
      <c r="L27" s="4"/>
      <c r="M27" s="27"/>
      <c r="N27" s="27"/>
      <c r="O27" t="s">
        <v>283</v>
      </c>
    </row>
    <row r="28" spans="1:15" ht="81" customHeight="1">
      <c r="A28" s="13" t="s">
        <v>7</v>
      </c>
      <c r="B28" s="13">
        <v>1</v>
      </c>
      <c r="C28" s="28" t="s">
        <v>844</v>
      </c>
      <c r="D28" s="24" t="s">
        <v>31</v>
      </c>
      <c r="E28" s="25" t="str">
        <f>IF($O28="","",IFERROR("Parte policial Nro. "&amp;SUBSTITUTE(INDEX(VEHICULOS!$N:$N,MATCH($O28,VEHICULOS!$F:$F,0)),"´","")&amp;", Hoja de Ingreso y Salida Nro. "&amp;TEXT(INDEX(VEHICULOS!$E:$E,MATCH($O28,VEHICULOS!$F:$F,0)),"0000000")&amp;", entregado al señor "&amp;INDEX(VEHICULOS!$P:$P,MATCH($O28,VEHICULOS!$F:$F,0))&amp;", con cédula "&amp;INDEX(VEHICULOS!$Z:$Z,MATCH($O28,VEHICULOS!$F:$F,0))&amp;" del Vehiculo Tipo "&amp;INDEX(VEHICULOS!$H:$H,MATCH($O28,VEHICULOS!$F:$F,0))&amp;" marca "&amp;INDEX(VEHICULOS!$G:$G,MATCH($O28,VEHICULOS!$F:$F,0))&amp;", color "&amp;INDEX(VEHICULOS!$J:$J,MATCH($O28,VEHICULOS!$F:$F,0))&amp;" con placas "&amp;$O28&amp;", por "&amp;INDEX(VEHICULOS!$Q:$Q,MATCH($O28,VEHICULOS!$F:$F,0))&amp;".","REVISAR: placa no encontrada en VEHICULOS"))</f>
        <v>Parte policial Nro. 202602060046268510, Hoja de Ingreso y Salida Nro. 0002045, entregado al señor ORIENTAL ALIMENTICIA S.A., con cédula 1206209627 del Vehiculo Tipo CABEZAL marca SINOTRUK, color BLANCO con placas GTT9096, por ACCIDENTE DE TRANSITO.</v>
      </c>
      <c r="F28" s="26">
        <f>IF($O28="","",IFERROR(INDEX(VEHICULOS!$D:$D,MATCH($O28,VEHICULOS!$F:$F,0)),""))</f>
        <v>46059</v>
      </c>
      <c r="G28" s="26">
        <f>IF($O28="","",IFERROR(INDEX(VEHICULOS!$V:$V,MATCH($O28,VEHICULOS!$F:$F,0)),""))</f>
        <v>46106</v>
      </c>
      <c r="H28" s="13">
        <v>20</v>
      </c>
      <c r="I28" s="13" t="s">
        <v>820</v>
      </c>
      <c r="J28" s="13" t="s">
        <v>821</v>
      </c>
      <c r="K28" s="4"/>
      <c r="L28" s="4"/>
      <c r="M28" s="27"/>
      <c r="N28" s="27"/>
      <c r="O28" t="s">
        <v>354</v>
      </c>
    </row>
    <row r="29" spans="1:15" ht="81" customHeight="1">
      <c r="A29" s="13" t="s">
        <v>7</v>
      </c>
      <c r="B29" s="13">
        <v>1</v>
      </c>
      <c r="C29" s="28" t="s">
        <v>845</v>
      </c>
      <c r="D29" s="24" t="s">
        <v>31</v>
      </c>
      <c r="E29" s="25" t="str">
        <f>IF($O29="","",IFERROR("Parte policial Nro. "&amp;SUBSTITUTE(INDEX(VEHICULOS!$N:$N,MATCH($O29,VEHICULOS!$F:$F,0)),"´","")&amp;", Hoja de Ingreso y Salida Nro. "&amp;TEXT(INDEX(VEHICULOS!$E:$E,MATCH($O29,VEHICULOS!$F:$F,0)),"0000000")&amp;", entregado al señor "&amp;INDEX(VEHICULOS!$P:$P,MATCH($O29,VEHICULOS!$F:$F,0))&amp;", con cédula "&amp;INDEX(VEHICULOS!$Z:$Z,MATCH($O29,VEHICULOS!$F:$F,0))&amp;" del Vehiculo Tipo "&amp;INDEX(VEHICULOS!$H:$H,MATCH($O29,VEHICULOS!$F:$F,0))&amp;" marca "&amp;INDEX(VEHICULOS!$G:$G,MATCH($O29,VEHICULOS!$F:$F,0))&amp;", color "&amp;INDEX(VEHICULOS!$J:$J,MATCH($O29,VEHICULOS!$F:$F,0))&amp;" con placas "&amp;$O29&amp;", por "&amp;INDEX(VEHICULOS!$Q:$Q,MATCH($O29,VEHICULOS!$F:$F,0))&amp;".","REVISAR: placa no encontrada en VEHICULOS"))</f>
        <v>Parte policial Nro. 2026022511524258300, Hoja de Ingreso y Salida Nro. 0002050, entregado al señor DISTRIBUIDORA IMPORTADORA DIPORT, con cédula 1706508155 del Vehiculo Tipo FURGON marca HINO, color BLANCO con placas RCF0072, por ACCIDENTE DE TRANSITO.</v>
      </c>
      <c r="F29" s="26">
        <f>IF($O29="","",IFERROR(INDEX(VEHICULOS!$D:$D,MATCH($O29,VEHICULOS!$F:$F,0)),""))</f>
        <v>46078</v>
      </c>
      <c r="G29" s="26">
        <f>IF($O29="","",IFERROR(INDEX(VEHICULOS!$V:$V,MATCH($O29,VEHICULOS!$F:$F,0)),""))</f>
        <v>46122</v>
      </c>
      <c r="H29" s="13">
        <v>30</v>
      </c>
      <c r="I29" s="13" t="s">
        <v>820</v>
      </c>
      <c r="J29" s="13" t="s">
        <v>821</v>
      </c>
      <c r="K29" s="4"/>
      <c r="L29" s="4"/>
      <c r="M29" s="27"/>
      <c r="N29" s="27"/>
      <c r="O29" t="s">
        <v>386</v>
      </c>
    </row>
    <row r="30" spans="1:15" ht="81" customHeight="1">
      <c r="A30" s="13" t="s">
        <v>7</v>
      </c>
      <c r="B30" s="13">
        <v>1</v>
      </c>
      <c r="C30" s="28" t="s">
        <v>846</v>
      </c>
      <c r="D30" s="24" t="s">
        <v>31</v>
      </c>
      <c r="E30" s="25" t="str">
        <f>IF($O30="","",IFERROR("Parte policial Nro. "&amp;SUBSTITUTE(INDEX(VEHICULOS!$N:$N,MATCH($O30,VEHICULOS!$F:$F,0)),"´","")&amp;", Hoja de Ingreso y Salida Nro. "&amp;TEXT(INDEX(VEHICULOS!$E:$E,MATCH($O30,VEHICULOS!$F:$F,0)),"0000000")&amp;", entregado al señor "&amp;INDEX(VEHICULOS!$P:$P,MATCH($O30,VEHICULOS!$F:$F,0))&amp;", con cédula "&amp;INDEX(VEHICULOS!$Z:$Z,MATCH($O30,VEHICULOS!$F:$F,0))&amp;" del Vehiculo Tipo "&amp;INDEX(VEHICULOS!$H:$H,MATCH($O30,VEHICULOS!$F:$F,0))&amp;" marca "&amp;INDEX(VEHICULOS!$G:$G,MATCH($O30,VEHICULOS!$F:$F,0))&amp;", color "&amp;INDEX(VEHICULOS!$J:$J,MATCH($O30,VEHICULOS!$F:$F,0))&amp;" con placas "&amp;$O30&amp;", por "&amp;INDEX(VEHICULOS!$Q:$Q,MATCH($O30,VEHICULOS!$F:$F,0))&amp;".","REVISAR: placa no encontrada en VEHICULOS"))</f>
        <v>Parte policial Nro. 2026032310204179007, Hoja de Ingreso y Salida Nro. 0002058, entregado al señor TAPIA LOPEZ EDGAR FERNANDO, con cédula 0502060635 del Vehiculo Tipo TRACTO CAMIÓN marca INTERNATIONAL, color ROJO con placas CAA1101, por ACCIDENTE DE TRANSITO.</v>
      </c>
      <c r="F30" s="26">
        <f>IF($O30="","",IFERROR(INDEX(VEHICULOS!$D:$D,MATCH($O30,VEHICULOS!$F:$F,0)),""))</f>
        <v>46103</v>
      </c>
      <c r="G30" s="26">
        <f>IF($O30="","",IFERROR(INDEX(VEHICULOS!$V:$V,MATCH($O30,VEHICULOS!$F:$F,0)),""))</f>
        <v>46113</v>
      </c>
      <c r="H30" s="13">
        <v>18</v>
      </c>
      <c r="I30" s="13" t="s">
        <v>820</v>
      </c>
      <c r="J30" s="13" t="s">
        <v>821</v>
      </c>
      <c r="K30" s="4"/>
      <c r="L30" s="4"/>
      <c r="M30" s="27"/>
      <c r="N30" s="27" t="s">
        <v>847</v>
      </c>
      <c r="O30" t="s">
        <v>475</v>
      </c>
    </row>
    <row r="31" spans="1:15" ht="81" customHeight="1">
      <c r="A31" s="13" t="s">
        <v>7</v>
      </c>
      <c r="B31" s="13">
        <v>1</v>
      </c>
      <c r="C31" s="28" t="s">
        <v>848</v>
      </c>
      <c r="D31" s="24" t="s">
        <v>31</v>
      </c>
      <c r="E31" s="25" t="str">
        <f>IF($O31="","",IFERROR("Parte policial Nro. "&amp;SUBSTITUTE(INDEX(VEHICULOS!$N:$N,MATCH($O31,VEHICULOS!$F:$F,0)),"´","")&amp;", Hoja de Ingreso y Salida Nro. "&amp;TEXT(INDEX(VEHICULOS!$E:$E,MATCH($O31,VEHICULOS!$F:$F,0)),"0000000")&amp;", entregado al señor "&amp;INDEX(VEHICULOS!$P:$P,MATCH($O31,VEHICULOS!$F:$F,0))&amp;", con cédula "&amp;INDEX(VEHICULOS!$Z:$Z,MATCH($O31,VEHICULOS!$F:$F,0))&amp;" del Vehiculo Tipo "&amp;INDEX(VEHICULOS!$H:$H,MATCH($O31,VEHICULOS!$F:$F,0))&amp;" marca "&amp;INDEX(VEHICULOS!$G:$G,MATCH($O31,VEHICULOS!$F:$F,0))&amp;", color "&amp;INDEX(VEHICULOS!$J:$J,MATCH($O31,VEHICULOS!$F:$F,0))&amp;" con placas "&amp;$O31&amp;", por "&amp;INDEX(VEHICULOS!$Q:$Q,MATCH($O31,VEHICULOS!$F:$F,0))&amp;".","REVISAR: placa no encontrada en VEHICULOS"))</f>
        <v>Parte policial Nro. 20260311709433770701, Hoja de Ingreso y Salida Nro. 0002057, entregado al señor AGILA LALANGUI OLGA ISABEL, con cédula 1718853326 del Vehiculo Tipo CABEZAL marca MERCEDEZ BENZ, color PLOMO con placas QAA3010, por ACCIDENTE DE TRANSITO.</v>
      </c>
      <c r="F31" s="26">
        <f>IF($O31="","",IFERROR(INDEX(VEHICULOS!$D:$D,MATCH($O31,VEHICULOS!$F:$F,0)),""))</f>
        <v>46098</v>
      </c>
      <c r="G31" s="26">
        <f>IF($O31="","",IFERROR(INDEX(VEHICULOS!$V:$V,MATCH($O31,VEHICULOS!$F:$F,0)),""))</f>
        <v>46108</v>
      </c>
      <c r="H31" s="13">
        <v>19</v>
      </c>
      <c r="I31" s="13" t="s">
        <v>820</v>
      </c>
      <c r="J31" s="13" t="s">
        <v>821</v>
      </c>
      <c r="K31" s="4"/>
      <c r="L31" s="4"/>
      <c r="M31" s="27"/>
      <c r="N31" s="27"/>
      <c r="O31" t="s">
        <v>455</v>
      </c>
    </row>
    <row r="32" spans="1:15" ht="81" customHeight="1">
      <c r="A32" s="13" t="s">
        <v>7</v>
      </c>
      <c r="B32" s="13">
        <v>1</v>
      </c>
      <c r="C32" s="28" t="s">
        <v>849</v>
      </c>
      <c r="D32" s="24" t="s">
        <v>31</v>
      </c>
      <c r="E32" s="25" t="str">
        <f>IF($O32="","",IFERROR("Parte policial Nro. "&amp;SUBSTITUTE(INDEX(VEHICULOS!$N:$N,MATCH($O32,VEHICULOS!$F:$F,0)),"´","")&amp;", Hoja de Ingreso y Salida Nro. "&amp;TEXT(INDEX(VEHICULOS!$E:$E,MATCH($O32,VEHICULOS!$F:$F,0)),"0000000")&amp;", entregado al señor "&amp;INDEX(VEHICULOS!$P:$P,MATCH($O32,VEHICULOS!$F:$F,0))&amp;", con cédula "&amp;INDEX(VEHICULOS!$Z:$Z,MATCH($O32,VEHICULOS!$F:$F,0))&amp;" del Vehiculo Tipo "&amp;INDEX(VEHICULOS!$H:$H,MATCH($O32,VEHICULOS!$F:$F,0))&amp;" marca "&amp;INDEX(VEHICULOS!$G:$G,MATCH($O32,VEHICULOS!$F:$F,0))&amp;", color "&amp;INDEX(VEHICULOS!$J:$J,MATCH($O32,VEHICULOS!$F:$F,0))&amp;" con placas "&amp;$O32&amp;", por "&amp;INDEX(VEHICULOS!$Q:$Q,MATCH($O32,VEHICULOS!$F:$F,0))&amp;".","REVISAR: placa no encontrada en VEHICULOS"))</f>
        <v>Parte policial Nro. 202603237112163205, Hoja de Ingreso y Salida Nro. 0002059, entregado al señor CHANGOLUISA VENEGAS OSCAR ROLANDO, con cédula 1713838694 del Vehiculo Tipo FURGON marca CHEVROLET, color ROJO con placas CBL0337, por ART. 160.</v>
      </c>
      <c r="F32" s="26">
        <f>IF($O32="","",IFERROR(INDEX(VEHICULOS!$D:$D,MATCH($O32,VEHICULOS!$F:$F,0)),""))</f>
        <v>46103</v>
      </c>
      <c r="G32" s="26">
        <f>IF($O32="","",IFERROR(INDEX(VEHICULOS!$V:$V,MATCH($O32,VEHICULOS!$F:$F,0)),""))</f>
        <v>46104</v>
      </c>
      <c r="H32" s="13">
        <v>12</v>
      </c>
      <c r="I32" s="13" t="s">
        <v>820</v>
      </c>
      <c r="J32" s="13" t="s">
        <v>821</v>
      </c>
      <c r="K32" s="4"/>
      <c r="L32" s="4"/>
      <c r="M32" s="27"/>
      <c r="N32" s="27"/>
      <c r="O32" t="s">
        <v>485</v>
      </c>
    </row>
    <row r="33" spans="1:15" ht="67.5" customHeight="1">
      <c r="A33" s="13" t="s">
        <v>7</v>
      </c>
      <c r="B33" s="13">
        <v>1</v>
      </c>
      <c r="C33" s="28" t="s">
        <v>850</v>
      </c>
      <c r="D33" s="24" t="s">
        <v>31</v>
      </c>
      <c r="E33" s="25" t="str">
        <f>IF($O33="","",IFERROR("Parte policial Nro. "&amp;SUBSTITUTE(INDEX(VEHICULOS!$N:$N,MATCH($O33,VEHICULOS!$F:$F,0)),"´","")&amp;", Hoja de Ingreso y Salida Nro. "&amp;TEXT(INDEX(VEHICULOS!$E:$E,MATCH($O33,VEHICULOS!$F:$F,0)),"0000000")&amp;", entregado al señor "&amp;INDEX(VEHICULOS!$P:$P,MATCH($O33,VEHICULOS!$F:$F,0))&amp;", con cédula "&amp;INDEX(VEHICULOS!$Z:$Z,MATCH($O33,VEHICULOS!$F:$F,0))&amp;" del Vehiculo Tipo "&amp;INDEX(VEHICULOS!$H:$H,MATCH($O33,VEHICULOS!$F:$F,0))&amp;" marca "&amp;INDEX(VEHICULOS!$G:$G,MATCH($O33,VEHICULOS!$F:$F,0))&amp;", color "&amp;INDEX(VEHICULOS!$J:$J,MATCH($O33,VEHICULOS!$F:$F,0))&amp;" con placas "&amp;$O33&amp;", por "&amp;INDEX(VEHICULOS!$Q:$Q,MATCH($O33,VEHICULOS!$F:$F,0))&amp;".","REVISAR: placa no encontrada en VEHICULOS"))</f>
        <v>Parte policial Nro. 2026031810551959409, Hoja de Ingreso y Salida Nro. 0002060, entregado al señor MURILLO VELAZQUEZ STALIN LEONEL, con cédula 2350595589 del Vehiculo Tipo CAMIÓN marca HINO, color BLANCO con placas XCB0016, por ACCIDENTE DE TRANSITO.</v>
      </c>
      <c r="F33" s="26">
        <f>IF($O33="","",IFERROR(INDEX(VEHICULOS!$D:$D,MATCH($O33,VEHICULOS!$F:$F,0)),""))</f>
        <v>46098</v>
      </c>
      <c r="G33" s="26">
        <f>IF($O33="","",IFERROR(INDEX(VEHICULOS!$V:$V,MATCH($O33,VEHICULOS!$F:$F,0)),""))</f>
        <v>46113</v>
      </c>
      <c r="H33" s="13">
        <v>27</v>
      </c>
      <c r="I33" s="13" t="s">
        <v>820</v>
      </c>
      <c r="J33" s="13" t="s">
        <v>821</v>
      </c>
      <c r="K33" s="4"/>
      <c r="L33" s="4"/>
      <c r="M33" s="27"/>
      <c r="N33" s="27"/>
      <c r="O33" t="s">
        <v>467</v>
      </c>
    </row>
    <row r="34" spans="1:15" ht="118.5" customHeight="1">
      <c r="A34" s="13" t="s">
        <v>7</v>
      </c>
      <c r="B34" s="13">
        <v>1</v>
      </c>
      <c r="C34" s="28" t="s">
        <v>851</v>
      </c>
      <c r="D34" s="24" t="s">
        <v>31</v>
      </c>
      <c r="E34" s="25" t="str">
        <f>IF($O34="","",IFERROR("Parte policial Nro. "&amp;SUBSTITUTE(INDEX(VEHICULOS!$N:$N,MATCH($O34,VEHICULOS!$F:$F,0)),"´","")&amp;", Hoja de Ingreso y Salida Nro. "&amp;TEXT(INDEX(VEHICULOS!$E:$E,MATCH($O34,VEHICULOS!$F:$F,0)),"0000000")&amp;", entregado al señor "&amp;INDEX(VEHICULOS!$P:$P,MATCH($O34,VEHICULOS!$F:$F,0))&amp;", con cédula "&amp;INDEX(VEHICULOS!$Z:$Z,MATCH($O34,VEHICULOS!$F:$F,0))&amp;" del Vehiculo Tipo "&amp;INDEX(VEHICULOS!$H:$H,MATCH($O34,VEHICULOS!$F:$F,0))&amp;" marca "&amp;INDEX(VEHICULOS!$G:$G,MATCH($O34,VEHICULOS!$F:$F,0))&amp;", color "&amp;INDEX(VEHICULOS!$J:$J,MATCH($O34,VEHICULOS!$F:$F,0))&amp;" con placas "&amp;$O34&amp;", por "&amp;INDEX(VEHICULOS!$Q:$Q,MATCH($O34,VEHICULOS!$F:$F,0))&amp;".","REVISAR: placa no encontrada en VEHICULOS"))</f>
        <v>Parte policial Nro. 2026032809402780510, Hoja de Ingreso y Salida Nro. 0002063, entregado al señor GAD STO. DOMINGO, con cédula 1719428508 del Vehiculo Tipo VOLQUETA marca HINO, color AMARILLO con placas JEI1029, por ACCIDENTE TRANSITO.</v>
      </c>
      <c r="F34" s="26">
        <f>IF($O34="","",IFERROR(INDEX(VEHICULOS!$D:$D,MATCH($O34,VEHICULOS!$F:$F,0)),""))</f>
        <v>46109</v>
      </c>
      <c r="G34" s="26">
        <f>IF($O34="","",IFERROR(INDEX(VEHICULOS!$V:$V,MATCH($O34,VEHICULOS!$F:$F,0)),""))</f>
        <v>46121</v>
      </c>
      <c r="H34" s="13">
        <v>21</v>
      </c>
      <c r="I34" s="13" t="s">
        <v>820</v>
      </c>
      <c r="J34" s="13" t="s">
        <v>821</v>
      </c>
      <c r="K34" s="4"/>
      <c r="L34" s="4"/>
      <c r="M34" s="27"/>
      <c r="N34" s="27"/>
      <c r="O34" t="s">
        <v>515</v>
      </c>
    </row>
    <row r="35" spans="1:15" ht="111.75" customHeight="1">
      <c r="A35" s="13" t="s">
        <v>7</v>
      </c>
      <c r="B35" s="13">
        <v>1</v>
      </c>
      <c r="C35" s="28" t="s">
        <v>852</v>
      </c>
      <c r="D35" s="24" t="s">
        <v>31</v>
      </c>
      <c r="E35" s="25" t="str">
        <f>IF($O35="","",IFERROR("Parte policial Nro. "&amp;SUBSTITUTE(INDEX(VEHICULOS!$N:$N,MATCH($O35,VEHICULOS!$F:$F,0)),"´","")&amp;", Hoja de Ingreso y Salida Nro. "&amp;TEXT(INDEX(VEHICULOS!$E:$E,MATCH($O35,VEHICULOS!$F:$F,0)),"0000000")&amp;", entregado al señor "&amp;INDEX(VEHICULOS!$P:$P,MATCH($O35,VEHICULOS!$F:$F,0))&amp;", con cédula "&amp;INDEX(VEHICULOS!$Z:$Z,MATCH($O35,VEHICULOS!$F:$F,0))&amp;" del Vehiculo Tipo "&amp;INDEX(VEHICULOS!$H:$H,MATCH($O35,VEHICULOS!$F:$F,0))&amp;" marca "&amp;INDEX(VEHICULOS!$G:$G,MATCH($O35,VEHICULOS!$F:$F,0))&amp;", color "&amp;INDEX(VEHICULOS!$J:$J,MATCH($O35,VEHICULOS!$F:$F,0))&amp;" con placas "&amp;$O35&amp;", por "&amp;INDEX(VEHICULOS!$Q:$Q,MATCH($O35,VEHICULOS!$F:$F,0))&amp;".","REVISAR: placa no encontrada en VEHICULOS"))</f>
        <v>Parte policial Nro. 2026020503164428108, Hoja de Ingreso y Salida Nro. 0002043, entregado al señor CAZA MENDEZ JOSE LUIS, con cédula 1721866018 del Vehiculo Tipo PLATAFORMA marca CHEVROLET, color BLANCO con placas CAE0442, por ACCIDENTE DE TRANSITO.</v>
      </c>
      <c r="F35" s="26">
        <f>IF($O35="","",IFERROR(INDEX(VEHICULOS!$D:$D,MATCH($O35,VEHICULOS!$F:$F,0)),""))</f>
        <v>46058</v>
      </c>
      <c r="G35" s="26">
        <f>IF($O35="","",IFERROR(INDEX(VEHICULOS!$V:$V,MATCH($O35,VEHICULOS!$F:$F,0)),""))</f>
        <v>46128</v>
      </c>
      <c r="H35" s="13">
        <v>20</v>
      </c>
      <c r="I35" s="13" t="s">
        <v>820</v>
      </c>
      <c r="J35" s="13" t="s">
        <v>821</v>
      </c>
      <c r="K35" s="4"/>
      <c r="L35" s="4"/>
      <c r="M35" s="27"/>
      <c r="N35" s="27"/>
      <c r="O35" t="s">
        <v>327</v>
      </c>
    </row>
    <row r="36" spans="1:15" ht="94.5" customHeight="1">
      <c r="A36" s="13" t="s">
        <v>7</v>
      </c>
      <c r="B36" s="13">
        <v>1</v>
      </c>
      <c r="C36" s="29" t="str">
        <f t="shared" ref="C36:C68" si="0">TEXT(VALUE(LEFT(C35,4))+1,"0000")&amp;"_2026"</f>
        <v>0031_2026</v>
      </c>
      <c r="D36" s="24" t="s">
        <v>31</v>
      </c>
      <c r="E36" s="25" t="str">
        <f>IF($O36="","",IFERROR("Parte policial Nro. "&amp;SUBSTITUTE(INDEX(VEHICULOS!$N:$N,MATCH($O36,VEHICULOS!$F:$F,0)),"´","")&amp;", Hoja de Ingreso y Salida Nro. "&amp;TEXT(INDEX(VEHICULOS!$E:$E,MATCH($O36,VEHICULOS!$F:$F,0)),"0000000")&amp;", entregado al señor "&amp;INDEX(VEHICULOS!$P:$P,MATCH($O36,VEHICULOS!$F:$F,0))&amp;", con cédula "&amp;INDEX(VEHICULOS!$Z:$Z,MATCH($O36,VEHICULOS!$F:$F,0))&amp;" del Vehiculo Tipo "&amp;INDEX(VEHICULOS!$H:$H,MATCH($O36,VEHICULOS!$F:$F,0))&amp;" marca "&amp;INDEX(VEHICULOS!$G:$G,MATCH($O36,VEHICULOS!$F:$F,0))&amp;", color "&amp;INDEX(VEHICULOS!$J:$J,MATCH($O36,VEHICULOS!$F:$F,0))&amp;" con placas "&amp;$O36&amp;", por "&amp;INDEX(VEHICULOS!$Q:$Q,MATCH($O36,VEHICULOS!$F:$F,0))&amp;".","REVISAR: placa no encontrada en VEHICULOS"))</f>
        <v>Parte policial Nro. 2026032809402780510, Hoja de Ingreso y Salida Nro. 0002062, entregado al señor VALERA VILLAVICENCIO CHISTIAN, con cédula 1726674011 del Vehiculo Tipo CAMIÓN marca JAC, color BLANCO con placas TBB2616, por ACCIDENTE DE TRANSITO.</v>
      </c>
      <c r="F36" s="26">
        <f>IF($O36="","",IFERROR(INDEX(VEHICULOS!$D:$D,MATCH($O36,VEHICULOS!$F:$F,0)),""))</f>
        <v>46109</v>
      </c>
      <c r="G36" s="26">
        <f>IF($O36="","",IFERROR(INDEX(VEHICULOS!$V:$V,MATCH($O36,VEHICULOS!$F:$F,0)),""))</f>
        <v>46156</v>
      </c>
      <c r="H36" s="13">
        <v>13</v>
      </c>
      <c r="I36" s="13" t="s">
        <v>820</v>
      </c>
      <c r="J36" s="13" t="s">
        <v>821</v>
      </c>
      <c r="K36" s="4"/>
      <c r="L36" s="4"/>
      <c r="M36" s="27"/>
      <c r="N36" s="27"/>
      <c r="O36" t="s">
        <v>503</v>
      </c>
    </row>
    <row r="37" spans="1:15" ht="113.25" customHeight="1">
      <c r="A37" s="13" t="s">
        <v>7</v>
      </c>
      <c r="B37" s="13">
        <v>1</v>
      </c>
      <c r="C37" s="29" t="str">
        <f t="shared" si="0"/>
        <v>0032_2026</v>
      </c>
      <c r="D37" s="24" t="s">
        <v>31</v>
      </c>
      <c r="E37" s="25" t="str">
        <f>IF($O37="","",IFERROR("Parte policial Nro. "&amp;SUBSTITUTE(INDEX(VEHICULOS!$N:$N,MATCH($O37,VEHICULOS!$F:$F,0)),"´","")&amp;", Hoja de Ingreso y Salida Nro. "&amp;TEXT(INDEX(VEHICULOS!$E:$E,MATCH($O37,VEHICULOS!$F:$F,0)),"0000000")&amp;", entregado al señor "&amp;INDEX(VEHICULOS!$P:$P,MATCH($O37,VEHICULOS!$F:$F,0))&amp;", con cédula "&amp;INDEX(VEHICULOS!$Z:$Z,MATCH($O37,VEHICULOS!$F:$F,0))&amp;" del Vehiculo Tipo "&amp;INDEX(VEHICULOS!$H:$H,MATCH($O37,VEHICULOS!$F:$F,0))&amp;" marca "&amp;INDEX(VEHICULOS!$G:$G,MATCH($O37,VEHICULOS!$F:$F,0))&amp;", color "&amp;INDEX(VEHICULOS!$J:$J,MATCH($O37,VEHICULOS!$F:$F,0))&amp;" con placas "&amp;$O37&amp;", por "&amp;INDEX(VEHICULOS!$Q:$Q,MATCH($O37,VEHICULOS!$F:$F,0))&amp;".","REVISAR: placa no encontrada en VEHICULOS"))</f>
        <v>Parte policial Nro. 2026040610455152911, Hoja de Ingreso y Salida Nro. 0002065, entregado al señor GUANOQUIZA VALIENTE MILTON PATRICIO, con cédula 0502919780 del Vehiculo Tipo AUTOBUS marca HINO, color AZUL con placas TAT0311, por ART. 386 INCISO 3 #1.</v>
      </c>
      <c r="F37" s="26">
        <f>IF($O37="","",IFERROR(INDEX(VEHICULOS!$D:$D,MATCH($O37,VEHICULOS!$F:$F,0)),""))</f>
        <v>46117</v>
      </c>
      <c r="G37" s="26">
        <f>IF($O37="","",IFERROR(INDEX(VEHICULOS!$V:$V,MATCH($O37,VEHICULOS!$F:$F,0)),""))</f>
        <v>46137</v>
      </c>
      <c r="H37" s="13">
        <v>25</v>
      </c>
      <c r="I37" s="13" t="s">
        <v>820</v>
      </c>
      <c r="J37" s="13" t="s">
        <v>821</v>
      </c>
      <c r="K37" s="4"/>
      <c r="L37" s="4"/>
      <c r="M37" s="27"/>
      <c r="N37" s="27"/>
      <c r="O37" t="s">
        <v>530</v>
      </c>
    </row>
    <row r="38" spans="1:15" ht="113.25" customHeight="1">
      <c r="A38" s="13" t="s">
        <v>7</v>
      </c>
      <c r="B38" s="13">
        <v>1</v>
      </c>
      <c r="C38" s="29" t="str">
        <f t="shared" si="0"/>
        <v>0033_2026</v>
      </c>
      <c r="D38" s="24" t="s">
        <v>31</v>
      </c>
      <c r="E38" s="25" t="str">
        <f>IF($O38="","",IFERROR("Parte policial Nro. "&amp;SUBSTITUTE(INDEX(VEHICULOS!$N:$N,MATCH($O38,VEHICULOS!$F:$F,0)),"´","")&amp;", Hoja de Ingreso y Salida Nro. "&amp;TEXT(INDEX(VEHICULOS!$E:$E,MATCH($O38,VEHICULOS!$F:$F,0)),"0000000")&amp;", entregado al señor "&amp;INDEX(VEHICULOS!$P:$P,MATCH($O38,VEHICULOS!$F:$F,0))&amp;", con cédula "&amp;INDEX(VEHICULOS!$Z:$Z,MATCH($O38,VEHICULOS!$F:$F,0))&amp;" del Vehiculo Tipo "&amp;INDEX(VEHICULOS!$H:$H,MATCH($O38,VEHICULOS!$F:$F,0))&amp;" marca "&amp;INDEX(VEHICULOS!$G:$G,MATCH($O38,VEHICULOS!$F:$F,0))&amp;", color "&amp;INDEX(VEHICULOS!$J:$J,MATCH($O38,VEHICULOS!$F:$F,0))&amp;" con placas "&amp;$O38&amp;", por "&amp;INDEX(VEHICULOS!$Q:$Q,MATCH($O38,VEHICULOS!$F:$F,0))&amp;".","REVISAR: placa no encontrada en VEHICULOS"))</f>
        <v>Parte policial Nro. 202604100449574102, Hoja de Ingreso y Salida Nro. 0002066, entregado al señor PAEZ MIÑIZ JORGE REINALDO, con cédula 1723853600 del Vehiculo Tipo CAMIÓN marca CHEVROLET, color BLANCO con placas PAA8922, por ACCIDENTE DE TRANSITO.</v>
      </c>
      <c r="F38" s="26">
        <f>IF($O38="","",IFERROR(INDEX(VEHICULOS!$D:$D,MATCH($O38,VEHICULOS!$F:$F,0)),""))</f>
        <v>46122</v>
      </c>
      <c r="G38" s="26">
        <f>IF($O38="","",IFERROR(INDEX(VEHICULOS!$V:$V,MATCH($O38,VEHICULOS!$F:$F,0)),""))</f>
        <v>46134</v>
      </c>
      <c r="H38" s="13">
        <v>20</v>
      </c>
      <c r="I38" s="13" t="s">
        <v>820</v>
      </c>
      <c r="J38" s="13" t="s">
        <v>821</v>
      </c>
      <c r="K38" s="4"/>
      <c r="L38" s="4"/>
      <c r="M38" s="27"/>
      <c r="N38" s="27"/>
      <c r="O38" t="s">
        <v>546</v>
      </c>
    </row>
    <row r="39" spans="1:15" ht="113.25" customHeight="1">
      <c r="A39" s="13" t="s">
        <v>7</v>
      </c>
      <c r="B39" s="13">
        <v>1</v>
      </c>
      <c r="C39" s="29" t="str">
        <f t="shared" si="0"/>
        <v>0034_2026</v>
      </c>
      <c r="D39" s="24" t="s">
        <v>31</v>
      </c>
      <c r="E39" s="25" t="str">
        <f>IF($O39="","",IFERROR("Parte policial Nro. "&amp;SUBSTITUTE(INDEX(VEHICULOS!$N:$N,MATCH($O39,VEHICULOS!$F:$F,0)),"´","")&amp;", Hoja de Ingreso y Salida Nro. "&amp;TEXT(INDEX(VEHICULOS!$E:$E,MATCH($O39,VEHICULOS!$F:$F,0)),"0000000")&amp;", entregado al señor "&amp;INDEX(VEHICULOS!$P:$P,MATCH($O39,VEHICULOS!$F:$F,0))&amp;", con cédula "&amp;INDEX(VEHICULOS!$Z:$Z,MATCH($O39,VEHICULOS!$F:$F,0))&amp;" del Vehiculo Tipo "&amp;INDEX(VEHICULOS!$H:$H,MATCH($O39,VEHICULOS!$F:$F,0))&amp;" marca "&amp;INDEX(VEHICULOS!$G:$G,MATCH($O39,VEHICULOS!$F:$F,0))&amp;", color "&amp;INDEX(VEHICULOS!$J:$J,MATCH($O39,VEHICULOS!$F:$F,0))&amp;" con placas "&amp;$O39&amp;", por "&amp;INDEX(VEHICULOS!$Q:$Q,MATCH($O39,VEHICULOS!$F:$F,0))&amp;".","REVISAR: placa no encontrada en VEHICULOS"))</f>
        <v>Parte policial Nro. 2026041603160431611, Hoja de Ingreso y Salida Nro. 0002068, entregado al señor CORTEZ ROGEL ELIZABETH, con cédula 0802740647 del Vehiculo Tipo PLATAFORMA marca HINO, color BLANCO con placas LBX0099, por ACCIDENTE DE TRANSITO.</v>
      </c>
      <c r="F39" s="26">
        <f>IF($O39="","",IFERROR(INDEX(VEHICULOS!$D:$D,MATCH($O39,VEHICULOS!$F:$F,0)),""))</f>
        <v>46128</v>
      </c>
      <c r="G39" s="26">
        <f>IF($O39="","",IFERROR(INDEX(VEHICULOS!$V:$V,MATCH($O39,VEHICULOS!$F:$F,0)),""))</f>
        <v>46162</v>
      </c>
      <c r="H39" s="13">
        <v>26</v>
      </c>
      <c r="I39" s="13" t="s">
        <v>820</v>
      </c>
      <c r="J39" s="13" t="s">
        <v>821</v>
      </c>
      <c r="K39" s="4"/>
      <c r="L39" s="4"/>
      <c r="M39" s="27"/>
      <c r="N39" s="27"/>
      <c r="O39" t="s">
        <v>562</v>
      </c>
    </row>
    <row r="40" spans="1:15" ht="113.25" customHeight="1">
      <c r="A40" s="13" t="s">
        <v>7</v>
      </c>
      <c r="B40" s="13">
        <v>1</v>
      </c>
      <c r="C40" s="29" t="str">
        <f t="shared" si="0"/>
        <v>0035_2026</v>
      </c>
      <c r="D40" s="24" t="s">
        <v>31</v>
      </c>
      <c r="E40" s="25" t="str">
        <f>IF($O40="","",IFERROR("Parte policial Nro. "&amp;SUBSTITUTE(INDEX(VEHICULOS!$N:$N,MATCH($O40,VEHICULOS!$F:$F,0)),"´","")&amp;", Hoja de Ingreso y Salida Nro. "&amp;TEXT(INDEX(VEHICULOS!$E:$E,MATCH($O40,VEHICULOS!$F:$F,0)),"0000000")&amp;", entregado al señor "&amp;INDEX(VEHICULOS!$P:$P,MATCH($O40,VEHICULOS!$F:$F,0))&amp;", con cédula "&amp;INDEX(VEHICULOS!$Z:$Z,MATCH($O40,VEHICULOS!$F:$F,0))&amp;" del Vehiculo Tipo "&amp;INDEX(VEHICULOS!$H:$H,MATCH($O40,VEHICULOS!$F:$F,0))&amp;" marca "&amp;INDEX(VEHICULOS!$G:$G,MATCH($O40,VEHICULOS!$F:$F,0))&amp;", color "&amp;INDEX(VEHICULOS!$J:$J,MATCH($O40,VEHICULOS!$F:$F,0))&amp;" con placas "&amp;$O40&amp;", por "&amp;INDEX(VEHICULOS!$Q:$Q,MATCH($O40,VEHICULOS!$F:$F,0))&amp;".","REVISAR: placa no encontrada en VEHICULOS"))</f>
        <v>Parte policial Nro. 2026042208143572112, Hoja de Ingreso y Salida Nro. 0002069, entregado al señor PINANGO JUAN FRANCISCO, con cédula 1709076234 del Vehiculo Tipo TRACTO CAMIÓN marca FOTON, color DORADO con placas XAA1507, por ACCIDENTE DE TRANSITO.</v>
      </c>
      <c r="F40" s="26">
        <f>IF($O40="","",IFERROR(INDEX(VEHICULOS!$D:$D,MATCH($O40,VEHICULOS!$F:$F,0)),""))</f>
        <v>46134</v>
      </c>
      <c r="G40" s="26">
        <f>IF($O40="","",IFERROR(INDEX(VEHICULOS!$V:$V,MATCH($O40,VEHICULOS!$F:$F,0)),""))</f>
        <v>46139</v>
      </c>
      <c r="H40" s="13">
        <v>15</v>
      </c>
      <c r="I40" s="13" t="s">
        <v>820</v>
      </c>
      <c r="J40" s="13" t="s">
        <v>821</v>
      </c>
      <c r="K40" s="4"/>
      <c r="L40" s="4"/>
      <c r="M40" s="27"/>
      <c r="N40" s="27"/>
      <c r="O40" t="s">
        <v>572</v>
      </c>
    </row>
    <row r="41" spans="1:15" ht="113.25" customHeight="1">
      <c r="A41" s="13" t="s">
        <v>7</v>
      </c>
      <c r="B41" s="13">
        <v>1</v>
      </c>
      <c r="C41" s="29" t="str">
        <f t="shared" si="0"/>
        <v>0036_2026</v>
      </c>
      <c r="D41" s="24" t="s">
        <v>31</v>
      </c>
      <c r="E41" s="25" t="str">
        <f>IF($O41="","",IFERROR("Parte policial Nro. "&amp;SUBSTITUTE(INDEX(VEHICULOS!$N:$N,MATCH($O41,VEHICULOS!$F:$F,0)),"´","")&amp;", Hoja de Ingreso y Salida Nro. "&amp;TEXT(INDEX(VEHICULOS!$E:$E,MATCH($O41,VEHICULOS!$F:$F,0)),"0000000")&amp;", entregado al señor "&amp;INDEX(VEHICULOS!$P:$P,MATCH($O41,VEHICULOS!$F:$F,0))&amp;", con cédula "&amp;INDEX(VEHICULOS!$Z:$Z,MATCH($O41,VEHICULOS!$F:$F,0))&amp;" del Vehiculo Tipo "&amp;INDEX(VEHICULOS!$H:$H,MATCH($O41,VEHICULOS!$F:$F,0))&amp;" marca "&amp;INDEX(VEHICULOS!$G:$G,MATCH($O41,VEHICULOS!$F:$F,0))&amp;", color "&amp;INDEX(VEHICULOS!$J:$J,MATCH($O41,VEHICULOS!$F:$F,0))&amp;" con placas "&amp;$O41&amp;", por "&amp;INDEX(VEHICULOS!$Q:$Q,MATCH($O41,VEHICULOS!$F:$F,0))&amp;".","REVISAR: placa no encontrada en VEHICULOS"))</f>
        <v>Parte policial Nro. 2026042310012581806, Hoja de Ingreso y Salida Nro. 0002070, entregado al señor LEVERONE ARBOLEDA GARY CRISTHOPER, con cédula 0802813675 del Vehiculo Tipo CAMIÓN marca HINO, color BLANCO con placas TDV0954, por ACCIDENTE DE TRANSITO.</v>
      </c>
      <c r="F41" s="26">
        <f>IF($O41="","",IFERROR(INDEX(VEHICULOS!$D:$D,MATCH($O41,VEHICULOS!$F:$F,0)),""))</f>
        <v>46135</v>
      </c>
      <c r="G41" s="26">
        <f>IF($O41="","",IFERROR(INDEX(VEHICULOS!$V:$V,MATCH($O41,VEHICULOS!$F:$F,0)),""))</f>
        <v>46148</v>
      </c>
      <c r="H41" s="13">
        <v>35</v>
      </c>
      <c r="I41" s="13" t="s">
        <v>820</v>
      </c>
      <c r="J41" s="13" t="s">
        <v>821</v>
      </c>
      <c r="K41" s="4"/>
      <c r="L41" s="4"/>
      <c r="M41" s="27"/>
      <c r="N41" s="27"/>
      <c r="O41" t="s">
        <v>581</v>
      </c>
    </row>
    <row r="42" spans="1:15" ht="113.25" customHeight="1">
      <c r="A42" s="13" t="s">
        <v>7</v>
      </c>
      <c r="B42" s="13">
        <v>1</v>
      </c>
      <c r="C42" s="29" t="str">
        <f t="shared" si="0"/>
        <v>0037_2026</v>
      </c>
      <c r="D42" s="24" t="s">
        <v>31</v>
      </c>
      <c r="E42" s="25" t="str">
        <f>IF($O42="","",IFERROR("Parte policial Nro. "&amp;SUBSTITUTE(INDEX(VEHICULOS!$N:$N,MATCH($O42,VEHICULOS!$F:$F,0)),"´","")&amp;", Hoja de Ingreso y Salida Nro. "&amp;TEXT(INDEX(VEHICULOS!$E:$E,MATCH($O42,VEHICULOS!$F:$F,0)),"0000000")&amp;", entregado al señor "&amp;INDEX(VEHICULOS!$P:$P,MATCH($O42,VEHICULOS!$F:$F,0))&amp;", con cédula "&amp;INDEX(VEHICULOS!$Z:$Z,MATCH($O42,VEHICULOS!$F:$F,0))&amp;" del Vehiculo Tipo "&amp;INDEX(VEHICULOS!$H:$H,MATCH($O42,VEHICULOS!$F:$F,0))&amp;" marca "&amp;INDEX(VEHICULOS!$G:$G,MATCH($O42,VEHICULOS!$F:$F,0))&amp;", color "&amp;INDEX(VEHICULOS!$J:$J,MATCH($O42,VEHICULOS!$F:$F,0))&amp;" con placas "&amp;$O42&amp;", por "&amp;INDEX(VEHICULOS!$Q:$Q,MATCH($O42,VEHICULOS!$F:$F,0))&amp;".","REVISAR: placa no encontrada en VEHICULOS"))</f>
        <v>Parte policial Nro. 2026050302104185307, Hoja de Ingreso y Salida Nro. 0002071, entregado al señor BARONA FIALLOS ANGEL GUSTAVO, con cédula 1711484004 del Vehiculo Tipo BUS marca CHEVROLET, color ANARANJADO con placas IAI0267, por ACCIDENTE DE TRANSITO.</v>
      </c>
      <c r="F42" s="26">
        <f>IF($O42="","",IFERROR(INDEX(VEHICULOS!$D:$D,MATCH($O42,VEHICULOS!$F:$F,0)),""))</f>
        <v>46145</v>
      </c>
      <c r="G42" s="26">
        <f>IF($O42="","",IFERROR(INDEX(VEHICULOS!$V:$V,MATCH($O42,VEHICULOS!$F:$F,0)),""))</f>
        <v>46148</v>
      </c>
      <c r="H42" s="13">
        <v>24</v>
      </c>
      <c r="I42" s="13" t="s">
        <v>820</v>
      </c>
      <c r="J42" s="13" t="s">
        <v>821</v>
      </c>
      <c r="K42" s="4"/>
      <c r="L42" s="4"/>
      <c r="M42" s="27"/>
      <c r="N42" s="27"/>
      <c r="O42" t="s">
        <v>591</v>
      </c>
    </row>
    <row r="43" spans="1:15" ht="113.25" customHeight="1">
      <c r="A43" s="13" t="s">
        <v>7</v>
      </c>
      <c r="B43" s="13">
        <v>1</v>
      </c>
      <c r="C43" s="29" t="str">
        <f t="shared" si="0"/>
        <v>0038_2026</v>
      </c>
      <c r="D43" s="24" t="s">
        <v>31</v>
      </c>
      <c r="E43" s="25" t="str">
        <f>IF($O43="","",IFERROR("Parte policial Nro. "&amp;SUBSTITUTE(INDEX(VEHICULOS!$N:$N,MATCH($O43,VEHICULOS!$F:$F,0)),"´","")&amp;", Hoja de Ingreso y Salida Nro. "&amp;TEXT(INDEX(VEHICULOS!$E:$E,MATCH($O43,VEHICULOS!$F:$F,0)),"0000000")&amp;", entregado al señor "&amp;INDEX(VEHICULOS!$P:$P,MATCH($O43,VEHICULOS!$F:$F,0))&amp;", con cédula "&amp;INDEX(VEHICULOS!$Z:$Z,MATCH($O43,VEHICULOS!$F:$F,0))&amp;" del Vehiculo Tipo "&amp;INDEX(VEHICULOS!$H:$H,MATCH($O43,VEHICULOS!$F:$F,0))&amp;" marca "&amp;INDEX(VEHICULOS!$G:$G,MATCH($O43,VEHICULOS!$F:$F,0))&amp;", color "&amp;INDEX(VEHICULOS!$J:$J,MATCH($O43,VEHICULOS!$F:$F,0))&amp;" con placas "&amp;$O43&amp;", por "&amp;INDEX(VEHICULOS!$Q:$Q,MATCH($O43,VEHICULOS!$F:$F,0))&amp;".","REVISAR: placa no encontrada en VEHICULOS"))</f>
        <v>Parte policial Nro. 2026050611324782113, Hoja de Ingreso y Salida Nro. 0002072, entregado al señor CAMACHO CAMACHO  RENE WILFRIDO , con cédula 1707682702 del Vehiculo Tipo CAMIÓN marca HINO, color AMARILLO con placas KAA1690, por ACCIDENTE DE TRANSITO.</v>
      </c>
      <c r="F43" s="26">
        <f>IF($O43="","",IFERROR(INDEX(VEHICULOS!$D:$D,MATCH($O43,VEHICULOS!$F:$F,0)),""))</f>
        <v>46148</v>
      </c>
      <c r="G43" s="26">
        <f>IF($O43="","",IFERROR(INDEX(VEHICULOS!$V:$V,MATCH($O43,VEHICULOS!$F:$F,0)),""))</f>
        <v>46162</v>
      </c>
      <c r="H43" s="13">
        <v>20</v>
      </c>
      <c r="I43" s="13" t="s">
        <v>820</v>
      </c>
      <c r="J43" s="13" t="s">
        <v>821</v>
      </c>
      <c r="K43" s="4"/>
      <c r="L43" s="4"/>
      <c r="M43" s="27"/>
      <c r="N43" s="27"/>
      <c r="O43" t="s">
        <v>600</v>
      </c>
    </row>
    <row r="44" spans="1:15" ht="113.25" customHeight="1">
      <c r="A44" s="13" t="s">
        <v>7</v>
      </c>
      <c r="B44" s="13">
        <v>1</v>
      </c>
      <c r="C44" s="29" t="str">
        <f t="shared" si="0"/>
        <v>0039_2026</v>
      </c>
      <c r="D44" s="24" t="s">
        <v>31</v>
      </c>
      <c r="E44" s="25" t="str">
        <f>IF($O44="","",IFERROR("Parte policial Nro. "&amp;SUBSTITUTE(INDEX(VEHICULOS!$N:$N,MATCH($O44,VEHICULOS!$F:$F,0)),"´","")&amp;", Hoja de Ingreso y Salida Nro. "&amp;TEXT(INDEX(VEHICULOS!$E:$E,MATCH($O44,VEHICULOS!$F:$F,0)),"0000000")&amp;", entregado al señor "&amp;INDEX(VEHICULOS!$P:$P,MATCH($O44,VEHICULOS!$F:$F,0))&amp;", con cédula "&amp;INDEX(VEHICULOS!$Z:$Z,MATCH($O44,VEHICULOS!$F:$F,0))&amp;" del Vehiculo Tipo "&amp;INDEX(VEHICULOS!$H:$H,MATCH($O44,VEHICULOS!$F:$F,0))&amp;" marca "&amp;INDEX(VEHICULOS!$G:$G,MATCH($O44,VEHICULOS!$F:$F,0))&amp;", color "&amp;INDEX(VEHICULOS!$J:$J,MATCH($O44,VEHICULOS!$F:$F,0))&amp;" con placas "&amp;$O44&amp;", por "&amp;INDEX(VEHICULOS!$Q:$Q,MATCH($O44,VEHICULOS!$F:$F,0))&amp;".","REVISAR: placa no encontrada en VEHICULOS"))</f>
        <v>Parte policial Nro. 2026050907541948413, Hoja de Ingreso y Salida Nro. 0002073, entregado al señor COQUE TONATO JUAN, con cédula 0500720537 del Vehiculo Tipo BUS marca HINO, color ROJO con placas JAA1756, por ACCIDENTE DE TRANSITO.</v>
      </c>
      <c r="F44" s="26">
        <f>IF($O44="","",IFERROR(INDEX(VEHICULOS!$D:$D,MATCH($O44,VEHICULOS!$F:$F,0)),""))</f>
        <v>46150</v>
      </c>
      <c r="G44" s="26">
        <f>IF($O44="","",IFERROR(INDEX(VEHICULOS!$V:$V,MATCH($O44,VEHICULOS!$F:$F,0)),""))</f>
        <v>46157</v>
      </c>
      <c r="H44" s="13">
        <v>15</v>
      </c>
      <c r="I44" s="13" t="s">
        <v>820</v>
      </c>
      <c r="J44" s="13" t="s">
        <v>821</v>
      </c>
      <c r="K44" s="4"/>
      <c r="L44" s="4"/>
      <c r="M44" s="27"/>
      <c r="N44" s="27"/>
      <c r="O44" t="s">
        <v>611</v>
      </c>
    </row>
    <row r="45" spans="1:15" ht="113.25" customHeight="1">
      <c r="A45" s="13" t="s">
        <v>7</v>
      </c>
      <c r="B45" s="13">
        <v>1</v>
      </c>
      <c r="C45" s="29" t="str">
        <f t="shared" si="0"/>
        <v>0040_2026</v>
      </c>
      <c r="D45" s="24" t="s">
        <v>31</v>
      </c>
      <c r="E45" s="25" t="str">
        <f>IF($O45="","",IFERROR("Parte policial Nro. "&amp;SUBSTITUTE(INDEX(VEHICULOS!$N:$N,MATCH($O45,VEHICULOS!$F:$F,0)),"´","")&amp;", Hoja de Ingreso y Salida Nro. "&amp;TEXT(INDEX(VEHICULOS!$E:$E,MATCH($O45,VEHICULOS!$F:$F,0)),"0000000")&amp;", entregado al señor "&amp;INDEX(VEHICULOS!$P:$P,MATCH($O45,VEHICULOS!$F:$F,0))&amp;", con cédula "&amp;INDEX(VEHICULOS!$Z:$Z,MATCH($O45,VEHICULOS!$F:$F,0))&amp;" del Vehiculo Tipo "&amp;INDEX(VEHICULOS!$H:$H,MATCH($O45,VEHICULOS!$F:$F,0))&amp;" marca "&amp;INDEX(VEHICULOS!$G:$G,MATCH($O45,VEHICULOS!$F:$F,0))&amp;", color "&amp;INDEX(VEHICULOS!$J:$J,MATCH($O45,VEHICULOS!$F:$F,0))&amp;" con placas "&amp;$O45&amp;", por "&amp;INDEX(VEHICULOS!$Q:$Q,MATCH($O45,VEHICULOS!$F:$F,0))&amp;".","REVISAR: placa no encontrada en VEHICULOS"))</f>
        <v>Parte policial Nro. 20260512095053535006, Hoja de Ingreso y Salida Nro. 0002074, entregado al señor MEDRANO JARRIN FERNANDO, con cédula 1719633438 del Vehiculo Tipo TRACTO CAMIÓN marca FREIGHTLINER, color BLANCO con placas PUK0033, por ACCIDENTE DE TRANSITO.</v>
      </c>
      <c r="F45" s="26">
        <f>IF($O45="","",IFERROR(INDEX(VEHICULOS!$D:$D,MATCH($O45,VEHICULOS!$F:$F,0)),""))</f>
        <v>46154</v>
      </c>
      <c r="G45" s="26">
        <f>IF($O45="","",IFERROR(INDEX(VEHICULOS!$V:$V,MATCH($O45,VEHICULOS!$F:$F,0)),""))</f>
        <v>46182</v>
      </c>
      <c r="H45" s="13">
        <v>30</v>
      </c>
      <c r="I45" s="13" t="s">
        <v>820</v>
      </c>
      <c r="J45" s="13" t="s">
        <v>821</v>
      </c>
      <c r="K45" s="4"/>
      <c r="L45" s="4"/>
      <c r="M45" s="27"/>
      <c r="N45" s="27"/>
      <c r="O45" t="s">
        <v>620</v>
      </c>
    </row>
    <row r="46" spans="1:15" ht="113.25" customHeight="1">
      <c r="A46" s="13" t="s">
        <v>7</v>
      </c>
      <c r="B46" s="13">
        <v>1</v>
      </c>
      <c r="C46" s="29" t="str">
        <f t="shared" si="0"/>
        <v>0041_2026</v>
      </c>
      <c r="D46" s="24" t="s">
        <v>31</v>
      </c>
      <c r="E46" s="25" t="str">
        <f>IF($O46="","",IFERROR("Parte policial Nro. "&amp;SUBSTITUTE(INDEX(VEHICULOS!$N:$N,MATCH($O46,VEHICULOS!$F:$F,0)),"´","")&amp;", Hoja de Ingreso y Salida Nro. "&amp;TEXT(INDEX(VEHICULOS!$E:$E,MATCH($O46,VEHICULOS!$F:$F,0)),"0000000")&amp;", entregado al señor "&amp;INDEX(VEHICULOS!$P:$P,MATCH($O46,VEHICULOS!$F:$F,0))&amp;", con cédula "&amp;INDEX(VEHICULOS!$Z:$Z,MATCH($O46,VEHICULOS!$F:$F,0))&amp;" del Vehiculo Tipo "&amp;INDEX(VEHICULOS!$H:$H,MATCH($O46,VEHICULOS!$F:$F,0))&amp;" marca "&amp;INDEX(VEHICULOS!$G:$G,MATCH($O46,VEHICULOS!$F:$F,0))&amp;", color "&amp;INDEX(VEHICULOS!$J:$J,MATCH($O46,VEHICULOS!$F:$F,0))&amp;" con placas "&amp;$O46&amp;", por "&amp;INDEX(VEHICULOS!$Q:$Q,MATCH($O46,VEHICULOS!$F:$F,0))&amp;".","REVISAR: placa no encontrada en VEHICULOS"))</f>
        <v>Parte policial Nro. 20260512095053535006, Hoja de Ingreso y Salida Nro. 0002075, entregado al señor MEDRANO JARRIN FERNANDO, con cédula 1307161321 del Vehiculo Tipo CAMIÓN marca HINO, color BLANCO con placas MBE7165, por ACCIDENTE DE TRANSITO.</v>
      </c>
      <c r="F46" s="26">
        <f>IF($O46="","",IFERROR(INDEX(VEHICULOS!$D:$D,MATCH($O46,VEHICULOS!$F:$F,0)),""))</f>
        <v>46154</v>
      </c>
      <c r="G46" s="26">
        <f>IF($O46="","",IFERROR(INDEX(VEHICULOS!$V:$V,MATCH($O46,VEHICULOS!$F:$F,0)),""))</f>
        <v>46168</v>
      </c>
      <c r="H46" s="13">
        <v>31</v>
      </c>
      <c r="I46" s="13" t="s">
        <v>820</v>
      </c>
      <c r="J46" s="13" t="s">
        <v>821</v>
      </c>
      <c r="K46" s="4"/>
      <c r="L46" s="4"/>
      <c r="M46" s="27"/>
      <c r="N46" s="27"/>
      <c r="O46" t="s">
        <v>630</v>
      </c>
    </row>
    <row r="47" spans="1:15" ht="113.25" customHeight="1">
      <c r="A47" s="13" t="s">
        <v>7</v>
      </c>
      <c r="B47" s="13">
        <v>1</v>
      </c>
      <c r="C47" s="29" t="str">
        <f t="shared" si="0"/>
        <v>0042_2026</v>
      </c>
      <c r="D47" s="24" t="s">
        <v>31</v>
      </c>
      <c r="E47" s="25" t="str">
        <f>IF($O47="","",IFERROR("Parte policial Nro. "&amp;SUBSTITUTE(INDEX(VEHICULOS!$N:$N,MATCH($O47,VEHICULOS!$F:$F,0)),"´","")&amp;", Hoja de Ingreso y Salida Nro. "&amp;TEXT(INDEX(VEHICULOS!$E:$E,MATCH($O47,VEHICULOS!$F:$F,0)),"0000000")&amp;", entregado al señor "&amp;INDEX(VEHICULOS!$P:$P,MATCH($O47,VEHICULOS!$F:$F,0))&amp;", con cédula "&amp;INDEX(VEHICULOS!$Z:$Z,MATCH($O47,VEHICULOS!$F:$F,0))&amp;" del Vehiculo Tipo "&amp;INDEX(VEHICULOS!$H:$H,MATCH($O47,VEHICULOS!$F:$F,0))&amp;" marca "&amp;INDEX(VEHICULOS!$G:$G,MATCH($O47,VEHICULOS!$F:$F,0))&amp;", color "&amp;INDEX(VEHICULOS!$J:$J,MATCH($O47,VEHICULOS!$F:$F,0))&amp;" con placas "&amp;$O47&amp;", por "&amp;INDEX(VEHICULOS!$Q:$Q,MATCH($O47,VEHICULOS!$F:$F,0))&amp;".","REVISAR: placa no encontrada en VEHICULOS"))</f>
        <v>Parte policial Nro. 2026052210240013908, Hoja de Ingreso y Salida Nro. 0002076, entregado al señor ALARCON GUERRERO HUGO LANDIVER, con cédula 1250443957 del Vehiculo Tipo FURGON marca SINOTRUK, color BLANCO con placas PAD2382, por ART. 386 INCISO 2.1.</v>
      </c>
      <c r="F47" s="26">
        <f>IF($O47="","",IFERROR(INDEX(VEHICULOS!$D:$D,MATCH($O47,VEHICULOS!$F:$F,0)),""))</f>
        <v>46164</v>
      </c>
      <c r="G47" s="26">
        <f>IF($O47="","",IFERROR(INDEX(VEHICULOS!$V:$V,MATCH($O47,VEHICULOS!$F:$F,0)),""))</f>
        <v>46184</v>
      </c>
      <c r="H47" s="13">
        <v>24</v>
      </c>
      <c r="I47" s="13" t="s">
        <v>820</v>
      </c>
      <c r="J47" s="13" t="s">
        <v>821</v>
      </c>
      <c r="K47" s="4"/>
      <c r="L47" s="4"/>
      <c r="M47" s="27"/>
      <c r="N47" s="27"/>
      <c r="O47" t="s">
        <v>644</v>
      </c>
    </row>
    <row r="48" spans="1:15" ht="113.25" customHeight="1">
      <c r="A48" s="13" t="s">
        <v>7</v>
      </c>
      <c r="B48" s="13">
        <v>1</v>
      </c>
      <c r="C48" s="29" t="str">
        <f t="shared" si="0"/>
        <v>0043_2026</v>
      </c>
      <c r="D48" s="24" t="s">
        <v>31</v>
      </c>
      <c r="E48" s="25" t="str">
        <f>IF($O48="","",IFERROR("Parte policial Nro. "&amp;SUBSTITUTE(INDEX(VEHICULOS!$N:$N,MATCH($O48,VEHICULOS!$F:$F,0)),"´","")&amp;", Hoja de Ingreso y Salida Nro. "&amp;TEXT(INDEX(VEHICULOS!$E:$E,MATCH($O48,VEHICULOS!$F:$F,0)),"0000000")&amp;", entregado al señor "&amp;INDEX(VEHICULOS!$P:$P,MATCH($O48,VEHICULOS!$F:$F,0))&amp;", con cédula "&amp;INDEX(VEHICULOS!$Z:$Z,MATCH($O48,VEHICULOS!$F:$F,0))&amp;" del Vehiculo Tipo "&amp;INDEX(VEHICULOS!$H:$H,MATCH($O48,VEHICULOS!$F:$F,0))&amp;" marca "&amp;INDEX(VEHICULOS!$G:$G,MATCH($O48,VEHICULOS!$F:$F,0))&amp;", color "&amp;INDEX(VEHICULOS!$J:$J,MATCH($O48,VEHICULOS!$F:$F,0))&amp;" con placas "&amp;$O48&amp;", por "&amp;INDEX(VEHICULOS!$Q:$Q,MATCH($O48,VEHICULOS!$F:$F,0))&amp;".","REVISAR: placa no encontrada en VEHICULOS"))</f>
        <v>Parte policial Nro. 2026060109260250000, Hoja de Ingreso y Salida Nro. 0002078, entregado al señor SUAREZ CONTRERA YANET MARYURU, con cédula 0801624610 del Vehiculo Tipo BUS marca HINO, color ROJO con placas JAA1752, por ACCIDENTE DE TRANSITO.</v>
      </c>
      <c r="F48" s="26">
        <f>IF($O48="","",IFERROR(INDEX(VEHICULOS!$D:$D,MATCH($O48,VEHICULOS!$F:$F,0)),""))</f>
        <v>46174</v>
      </c>
      <c r="G48" s="26">
        <f>IF($O48="","",IFERROR(INDEX(VEHICULOS!$V:$V,MATCH($O48,VEHICULOS!$F:$F,0)),""))</f>
        <v>46178</v>
      </c>
      <c r="H48" s="13">
        <v>23</v>
      </c>
      <c r="I48" s="13" t="s">
        <v>820</v>
      </c>
      <c r="J48" s="13" t="s">
        <v>821</v>
      </c>
      <c r="K48" s="4"/>
      <c r="L48" s="4"/>
      <c r="M48" s="27"/>
      <c r="N48" s="27"/>
      <c r="O48" t="s">
        <v>653</v>
      </c>
    </row>
    <row r="49" spans="1:15" ht="113.25" customHeight="1">
      <c r="A49" s="13" t="s">
        <v>7</v>
      </c>
      <c r="B49" s="13">
        <v>1</v>
      </c>
      <c r="C49" s="29" t="str">
        <f t="shared" si="0"/>
        <v>0044_2026</v>
      </c>
      <c r="D49" s="24" t="s">
        <v>31</v>
      </c>
      <c r="E49" s="25" t="str">
        <f>IF($O49="","",IFERROR("Parte policial Nro. "&amp;SUBSTITUTE(INDEX(VEHICULOS!$N:$N,MATCH($O49,VEHICULOS!$F:$F,0)),"´","")&amp;", Hoja de Ingreso y Salida Nro. "&amp;TEXT(INDEX(VEHICULOS!$E:$E,MATCH($O49,VEHICULOS!$F:$F,0)),"0000000")&amp;", entregado al señor "&amp;INDEX(VEHICULOS!$P:$P,MATCH($O49,VEHICULOS!$F:$F,0))&amp;", con cédula "&amp;INDEX(VEHICULOS!$Z:$Z,MATCH($O49,VEHICULOS!$F:$F,0))&amp;" del Vehiculo Tipo "&amp;INDEX(VEHICULOS!$H:$H,MATCH($O49,VEHICULOS!$F:$F,0))&amp;" marca "&amp;INDEX(VEHICULOS!$G:$G,MATCH($O49,VEHICULOS!$F:$F,0))&amp;", color "&amp;INDEX(VEHICULOS!$J:$J,MATCH($O49,VEHICULOS!$F:$F,0))&amp;" con placas "&amp;$O49&amp;", por "&amp;INDEX(VEHICULOS!$Q:$Q,MATCH($O49,VEHICULOS!$F:$F,0))&amp;".","REVISAR: placa no encontrada en VEHICULOS"))</f>
        <v>Parte policial Nro. 2026061800331883308, Hoja de Ingreso y Salida Nro. 0002079, entregado al señor HECTOR ISRAEL BABAYO HARO, con cédula 1803891226 del Vehiculo Tipo BUS marca YUTONG, color AMARILLO con placas TAA3401, por ART. 386 INCISO 2.1.</v>
      </c>
      <c r="F49" s="26">
        <f>IF($O49="","",IFERROR(INDEX(VEHICULOS!$D:$D,MATCH($O49,VEHICULOS!$F:$F,0)),""))</f>
        <v>46190</v>
      </c>
      <c r="G49" s="26">
        <f>IF($O49="","",IFERROR(INDEX(VEHICULOS!$V:$V,MATCH($O49,VEHICULOS!$F:$F,0)),""))</f>
        <v>46204</v>
      </c>
      <c r="H49" s="13">
        <v>16</v>
      </c>
      <c r="I49" s="13" t="s">
        <v>820</v>
      </c>
      <c r="J49" s="13" t="s">
        <v>821</v>
      </c>
      <c r="K49" s="4"/>
      <c r="L49" s="4"/>
      <c r="M49" s="27"/>
      <c r="N49" s="27"/>
      <c r="O49" t="s">
        <v>660</v>
      </c>
    </row>
    <row r="50" spans="1:15" ht="113.25" customHeight="1">
      <c r="A50" s="13" t="s">
        <v>7</v>
      </c>
      <c r="B50" s="13">
        <v>1</v>
      </c>
      <c r="C50" s="29" t="str">
        <f t="shared" si="0"/>
        <v>0045_2026</v>
      </c>
      <c r="D50" s="24" t="s">
        <v>31</v>
      </c>
      <c r="E50" s="25" t="str">
        <f>IF($O50="","",IFERROR("Parte policial Nro. "&amp;SUBSTITUTE(INDEX(VEHICULOS!$N:$N,MATCH($O50,VEHICULOS!$F:$F,0)),"´","")&amp;", Hoja de Ingreso y Salida Nro. "&amp;TEXT(INDEX(VEHICULOS!$E:$E,MATCH($O50,VEHICULOS!$F:$F,0)),"0000000")&amp;", entregado al señor "&amp;INDEX(VEHICULOS!$P:$P,MATCH($O50,VEHICULOS!$F:$F,0))&amp;", con cédula "&amp;INDEX(VEHICULOS!$Z:$Z,MATCH($O50,VEHICULOS!$F:$F,0))&amp;" del Vehiculo Tipo "&amp;INDEX(VEHICULOS!$H:$H,MATCH($O50,VEHICULOS!$F:$F,0))&amp;" marca "&amp;INDEX(VEHICULOS!$G:$G,MATCH($O50,VEHICULOS!$F:$F,0))&amp;", color "&amp;INDEX(VEHICULOS!$J:$J,MATCH($O50,VEHICULOS!$F:$F,0))&amp;" con placas "&amp;$O50&amp;", por "&amp;INDEX(VEHICULOS!$Q:$Q,MATCH($O50,VEHICULOS!$F:$F,0))&amp;".","REVISAR: placa no encontrada en VEHICULOS"))</f>
        <v>Parte policial Nro. 2026061800550850208, Hoja de Ingreso y Salida Nro. 0002080, entregado al señor MOYA GOMEZ JOSE DANIEL, con cédula 1721611174 del Vehiculo Tipo TRAILER marca FOTON, color PLOMO con placas GBO5004, por ACCIDENTE DE TRANSITO.</v>
      </c>
      <c r="F50" s="26">
        <f>IF($O50="","",IFERROR(INDEX(VEHICULOS!$D:$D,MATCH($O50,VEHICULOS!$F:$F,0)),""))</f>
        <v>46190</v>
      </c>
      <c r="G50" s="26">
        <f>IF($O50="","",IFERROR(INDEX(VEHICULOS!$V:$V,MATCH($O50,VEHICULOS!$F:$F,0)),""))</f>
        <v>46192</v>
      </c>
      <c r="H50" s="13">
        <v>34</v>
      </c>
      <c r="I50" s="13" t="s">
        <v>820</v>
      </c>
      <c r="J50" s="13" t="s">
        <v>821</v>
      </c>
      <c r="K50" s="4"/>
      <c r="L50" s="4"/>
      <c r="M50" s="27"/>
      <c r="N50" s="27"/>
      <c r="O50" t="s">
        <v>670</v>
      </c>
    </row>
    <row r="51" spans="1:15" ht="113.25" customHeight="1">
      <c r="A51" s="13" t="s">
        <v>7</v>
      </c>
      <c r="B51" s="13">
        <v>1</v>
      </c>
      <c r="C51" s="29" t="str">
        <f t="shared" si="0"/>
        <v>0046_2026</v>
      </c>
      <c r="D51" s="24" t="s">
        <v>31</v>
      </c>
      <c r="E51" s="25" t="str">
        <f>IF($O51="","",IFERROR("Parte policial Nro. "&amp;SUBSTITUTE(INDEX(VEHICULOS!$N:$N,MATCH($O51,VEHICULOS!$F:$F,0)),"´","")&amp;", Hoja de Ingreso y Salida Nro. "&amp;TEXT(INDEX(VEHICULOS!$E:$E,MATCH($O51,VEHICULOS!$F:$F,0)),"0000000")&amp;", entregado al señor "&amp;INDEX(VEHICULOS!$P:$P,MATCH($O51,VEHICULOS!$F:$F,0))&amp;", con cédula "&amp;INDEX(VEHICULOS!$Z:$Z,MATCH($O51,VEHICULOS!$F:$F,0))&amp;" del Vehiculo Tipo "&amp;INDEX(VEHICULOS!$H:$H,MATCH($O51,VEHICULOS!$F:$F,0))&amp;" marca "&amp;INDEX(VEHICULOS!$G:$G,MATCH($O51,VEHICULOS!$F:$F,0))&amp;", color "&amp;INDEX(VEHICULOS!$J:$J,MATCH($O51,VEHICULOS!$F:$F,0))&amp;" con placas "&amp;$O51&amp;", por "&amp;INDEX(VEHICULOS!$Q:$Q,MATCH($O51,VEHICULOS!$F:$F,0))&amp;".","REVISAR: placa no encontrada en VEHICULOS"))</f>
        <v>Parte policial Nro. 202606270306365907, Hoja de Ingreso y Salida Nro. 0002084, entregado al señor JOSE MARIO ZAMBRANO MENDOZA, con cédula 1715321350 del Vehiculo Tipo CAMIÓN marca HINO, color BLANCO con placas JBE1438, por ART. 160.</v>
      </c>
      <c r="F51" s="26">
        <f>IF($O51="","",IFERROR(INDEX(VEHICULOS!$D:$D,MATCH($O51,VEHICULOS!$F:$F,0)),""))</f>
        <v>46200</v>
      </c>
      <c r="G51" s="26">
        <f>IF($O51="","",IFERROR(INDEX(VEHICULOS!$V:$V,MATCH($O51,VEHICULOS!$F:$F,0)),""))</f>
        <v>46202</v>
      </c>
      <c r="H51" s="13">
        <v>14</v>
      </c>
      <c r="I51" s="13" t="s">
        <v>820</v>
      </c>
      <c r="J51" s="13" t="s">
        <v>821</v>
      </c>
      <c r="K51" s="4"/>
      <c r="L51" s="4"/>
      <c r="M51" s="27"/>
      <c r="N51" s="27"/>
      <c r="O51" t="s">
        <v>702</v>
      </c>
    </row>
    <row r="52" spans="1:15" ht="113.25" customHeight="1">
      <c r="A52" s="13" t="s">
        <v>7</v>
      </c>
      <c r="B52" s="13">
        <v>1</v>
      </c>
      <c r="C52" s="29" t="str">
        <f t="shared" si="0"/>
        <v>0047_2026</v>
      </c>
      <c r="D52" s="24" t="s">
        <v>31</v>
      </c>
      <c r="E52" s="25" t="str">
        <f>IF($O52="","",IFERROR("Parte policial Nro. "&amp;SUBSTITUTE(INDEX(VEHICULOS!$N:$N,MATCH($O52,VEHICULOS!$F:$F,0)),"´","")&amp;", Hoja de Ingreso y Salida Nro. "&amp;TEXT(INDEX(VEHICULOS!$E:$E,MATCH($O52,VEHICULOS!$F:$F,0)),"0000000")&amp;", entregado al señor "&amp;INDEX(VEHICULOS!$P:$P,MATCH($O52,VEHICULOS!$F:$F,0))&amp;", con cédula "&amp;INDEX(VEHICULOS!$Z:$Z,MATCH($O52,VEHICULOS!$F:$F,0))&amp;" del Vehiculo Tipo "&amp;INDEX(VEHICULOS!$H:$H,MATCH($O52,VEHICULOS!$F:$F,0))&amp;" marca "&amp;INDEX(VEHICULOS!$G:$G,MATCH($O52,VEHICULOS!$F:$F,0))&amp;", color "&amp;INDEX(VEHICULOS!$J:$J,MATCH($O52,VEHICULOS!$F:$F,0))&amp;" con placas "&amp;$O52&amp;", por "&amp;INDEX(VEHICULOS!$Q:$Q,MATCH($O52,VEHICULOS!$F:$F,0))&amp;".","REVISAR: placa no encontrada en VEHICULOS"))</f>
        <v>Parte policial Nro. 2026062608132225302, Hoja de Ingreso y Salida Nro. 0002083, entregado al señor CEDEÑO YANEZ HUGO FABIAN, con cédula 1309276648 del Vehiculo Tipo BUS marca HINO, color AZUL con placas XAG0291, por ACCIDENTE DE TRANSITO.</v>
      </c>
      <c r="F52" s="26">
        <f>IF($O52="","",IFERROR(INDEX(VEHICULOS!$D:$D,MATCH($O52,VEHICULOS!$F:$F,0)),""))</f>
        <v>46199</v>
      </c>
      <c r="G52" s="26">
        <f>IF($O52="","",IFERROR(INDEX(VEHICULOS!$V:$V,MATCH($O52,VEHICULOS!$F:$F,0)),""))</f>
        <v>46210</v>
      </c>
      <c r="H52" s="13"/>
      <c r="I52" s="13" t="s">
        <v>820</v>
      </c>
      <c r="J52" s="13" t="s">
        <v>821</v>
      </c>
      <c r="K52" s="4"/>
      <c r="L52" s="4"/>
      <c r="M52" s="27"/>
      <c r="N52" s="27"/>
      <c r="O52" t="s">
        <v>694</v>
      </c>
    </row>
    <row r="53" spans="1:15" ht="113.25" customHeight="1">
      <c r="A53" s="13" t="s">
        <v>7</v>
      </c>
      <c r="B53" s="13">
        <v>1</v>
      </c>
      <c r="C53" s="29" t="str">
        <f t="shared" si="0"/>
        <v>0048_2026</v>
      </c>
      <c r="D53" s="24" t="s">
        <v>31</v>
      </c>
      <c r="E53" s="25" t="str">
        <f>IF($O53="","",IFERROR("Parte policial Nro. "&amp;SUBSTITUTE(INDEX(VEHICULOS!$N:$N,MATCH($O53,VEHICULOS!$F:$F,0)),"´","")&amp;", Hoja de Ingreso y Salida Nro. "&amp;TEXT(INDEX(VEHICULOS!$E:$E,MATCH($O53,VEHICULOS!$F:$F,0)),"0000000")&amp;", entregado al señor "&amp;INDEX(VEHICULOS!$P:$P,MATCH($O53,VEHICULOS!$F:$F,0))&amp;", con cédula "&amp;INDEX(VEHICULOS!$Z:$Z,MATCH($O53,VEHICULOS!$F:$F,0))&amp;" del Vehiculo Tipo "&amp;INDEX(VEHICULOS!$H:$H,MATCH($O53,VEHICULOS!$F:$F,0))&amp;" marca "&amp;INDEX(VEHICULOS!$G:$G,MATCH($O53,VEHICULOS!$F:$F,0))&amp;", color "&amp;INDEX(VEHICULOS!$J:$J,MATCH($O53,VEHICULOS!$F:$F,0))&amp;" con placas "&amp;$O53&amp;", por "&amp;INDEX(VEHICULOS!$Q:$Q,MATCH($O53,VEHICULOS!$F:$F,0))&amp;".","REVISAR: placa no encontrada en VEHICULOS"))</f>
        <v>Parte policial Nro. 2026063001540128411, Hoja de Ingreso y Salida Nro. 0002086, entregado al señor ARMIJOS GODOY JAHANNA NOEMI, con cédula 0703663534 del Vehiculo Tipo CAMIÓN marca SINOTRUK, color BLANCO con placas KAA2251, por ART. 160.</v>
      </c>
      <c r="F53" s="26">
        <f>IF($O53="","",IFERROR(INDEX(VEHICULOS!$D:$D,MATCH($O53,VEHICULOS!$F:$F,0)),""))</f>
        <v>46203</v>
      </c>
      <c r="G53" s="26">
        <f>IF($O53="","",IFERROR(INDEX(VEHICULOS!$V:$V,MATCH($O53,VEHICULOS!$F:$F,0)),""))</f>
        <v>46211</v>
      </c>
      <c r="H53" s="13"/>
      <c r="I53" s="13" t="s">
        <v>820</v>
      </c>
      <c r="J53" s="13" t="s">
        <v>821</v>
      </c>
      <c r="K53" s="4"/>
      <c r="L53" s="4"/>
      <c r="M53" s="27"/>
      <c r="N53" s="27"/>
      <c r="O53" t="s">
        <v>720</v>
      </c>
    </row>
    <row r="54" spans="1:15" ht="113.25" customHeight="1">
      <c r="A54" s="13" t="s">
        <v>7</v>
      </c>
      <c r="B54" s="13">
        <v>1</v>
      </c>
      <c r="C54" s="29" t="str">
        <f t="shared" si="0"/>
        <v>0049_2026</v>
      </c>
      <c r="D54" s="24" t="s">
        <v>31</v>
      </c>
      <c r="E54" s="25" t="str">
        <f>IF($O54="","",IFERROR("Parte policial Nro. "&amp;SUBSTITUTE(INDEX(VEHICULOS!$N:$N,MATCH($O54,VEHICULOS!$F:$F,0)),"´","")&amp;", Hoja de Ingreso y Salida Nro. "&amp;TEXT(INDEX(VEHICULOS!$E:$E,MATCH($O54,VEHICULOS!$F:$F,0)),"0000000")&amp;", entregado al señor "&amp;INDEX(VEHICULOS!$P:$P,MATCH($O54,VEHICULOS!$F:$F,0))&amp;", con cédula "&amp;INDEX(VEHICULOS!$Z:$Z,MATCH($O54,VEHICULOS!$F:$F,0))&amp;" del Vehiculo Tipo "&amp;INDEX(VEHICULOS!$H:$H,MATCH($O54,VEHICULOS!$F:$F,0))&amp;" marca "&amp;INDEX(VEHICULOS!$G:$G,MATCH($O54,VEHICULOS!$F:$F,0))&amp;", color "&amp;INDEX(VEHICULOS!$J:$J,MATCH($O54,VEHICULOS!$F:$F,0))&amp;" con placas "&amp;$O54&amp;", por "&amp;INDEX(VEHICULOS!$Q:$Q,MATCH($O54,VEHICULOS!$F:$F,0))&amp;".","REVISAR: placa no encontrada en VEHICULOS"))</f>
        <v>Parte policial Nro. 2026070610334185509, Hoja de Ingreso y Salida Nro. 0002087, entregado al señor GUERRA NARVAEZ YOLANDA ROSARIO, con cédula 0401069794 del Vehiculo Tipo TRACTO CAMIÓN marca KENWORTH, color AZUL con placas AAA2132, por ACCIDENTE DE TRANSITO.</v>
      </c>
      <c r="F54" s="26">
        <f>IF($O54="","",IFERROR(INDEX(VEHICULOS!$D:$D,MATCH($O54,VEHICULOS!$F:$F,0)),""))</f>
        <v>46209</v>
      </c>
      <c r="G54" s="26">
        <f>IF($O54="","",IFERROR(INDEX(VEHICULOS!$V:$V,MATCH($O54,VEHICULOS!$F:$F,0)),""))</f>
        <v>46215</v>
      </c>
      <c r="H54" s="13"/>
      <c r="I54" s="13" t="s">
        <v>820</v>
      </c>
      <c r="J54" s="13" t="s">
        <v>821</v>
      </c>
      <c r="K54" s="4"/>
      <c r="L54" s="4"/>
      <c r="M54" s="27"/>
      <c r="N54" s="27"/>
      <c r="O54" s="206" t="s">
        <v>728</v>
      </c>
    </row>
    <row r="55" spans="1:15" ht="113.25" customHeight="1">
      <c r="A55" s="13" t="s">
        <v>7</v>
      </c>
      <c r="B55" s="13">
        <v>1</v>
      </c>
      <c r="C55" s="29" t="str">
        <f t="shared" si="0"/>
        <v>0050_2026</v>
      </c>
      <c r="D55" s="24" t="s">
        <v>31</v>
      </c>
      <c r="E55" s="25" t="str">
        <f>IF($O55="","",IFERROR("Parte policial Nro. "&amp;SUBSTITUTE(INDEX(VEHICULOS!$N:$N,MATCH($O55,VEHICULOS!$F:$F,0)),"´","")&amp;", Hoja de Ingreso y Salida Nro. "&amp;TEXT(INDEX(VEHICULOS!$E:$E,MATCH($O55,VEHICULOS!$F:$F,0)),"0000000")&amp;", entregado al señor "&amp;INDEX(VEHICULOS!$P:$P,MATCH($O55,VEHICULOS!$F:$F,0))&amp;", con cédula "&amp;INDEX(VEHICULOS!$Z:$Z,MATCH($O55,VEHICULOS!$F:$F,0))&amp;" del Vehiculo Tipo "&amp;INDEX(VEHICULOS!$H:$H,MATCH($O55,VEHICULOS!$F:$F,0))&amp;" marca "&amp;INDEX(VEHICULOS!$G:$G,MATCH($O55,VEHICULOS!$F:$F,0))&amp;", color "&amp;INDEX(VEHICULOS!$J:$J,MATCH($O55,VEHICULOS!$F:$F,0))&amp;" con placas "&amp;$O55&amp;", por "&amp;INDEX(VEHICULOS!$Q:$Q,MATCH($O55,VEHICULOS!$F:$F,0))&amp;".","REVISAR: placa no encontrada en VEHICULOS"))</f>
        <v>Parte policial Nro. 2026070910554584516, Hoja de Ingreso y Salida Nro. 0002088, entregado al señor CABSCANGO CHAVEZ LUIS GERMAN, con cédula 1002879417 del Vehiculo Tipo CAMIÓN marca HINO, color BLANCO con placas PQQ0425, por ART. 160.</v>
      </c>
      <c r="F55" s="26">
        <f>IF($O55="","",IFERROR(INDEX(VEHICULOS!$D:$D,MATCH($O55,VEHICULOS!$F:$F,0)),""))</f>
        <v>46212</v>
      </c>
      <c r="G55" s="26">
        <f>IF($O55="","",IFERROR(INDEX(VEHICULOS!$V:$V,MATCH($O55,VEHICULOS!$F:$F,0)),""))</f>
        <v>46223</v>
      </c>
      <c r="H55" s="13"/>
      <c r="I55" s="13" t="s">
        <v>820</v>
      </c>
      <c r="J55" s="13" t="s">
        <v>821</v>
      </c>
      <c r="K55" s="4"/>
      <c r="L55" s="4"/>
      <c r="M55" s="27"/>
      <c r="N55" s="27"/>
      <c r="O55" s="206" t="s">
        <v>737</v>
      </c>
    </row>
    <row r="56" spans="1:15" ht="113.25" customHeight="1">
      <c r="A56" s="13" t="s">
        <v>7</v>
      </c>
      <c r="B56" s="13">
        <v>1</v>
      </c>
      <c r="C56" s="29" t="str">
        <f t="shared" si="0"/>
        <v>0051_2026</v>
      </c>
      <c r="D56" s="24" t="s">
        <v>31</v>
      </c>
      <c r="E56" s="25" t="str">
        <f>IF($O56="","",IFERROR("Parte policial Nro. "&amp;SUBSTITUTE(INDEX(VEHICULOS!$N:$N,MATCH($O56,VEHICULOS!$F:$F,0)),"´","")&amp;", Hoja de Ingreso y Salida Nro. "&amp;TEXT(INDEX(VEHICULOS!$E:$E,MATCH($O56,VEHICULOS!$F:$F,0)),"0000000")&amp;", entregado al señor "&amp;INDEX(VEHICULOS!$P:$P,MATCH($O56,VEHICULOS!$F:$F,0))&amp;", con cédula "&amp;INDEX(VEHICULOS!$Z:$Z,MATCH($O56,VEHICULOS!$F:$F,0))&amp;" del Vehiculo Tipo "&amp;INDEX(VEHICULOS!$H:$H,MATCH($O56,VEHICULOS!$F:$F,0))&amp;" marca "&amp;INDEX(VEHICULOS!$G:$G,MATCH($O56,VEHICULOS!$F:$F,0))&amp;", color "&amp;INDEX(VEHICULOS!$J:$J,MATCH($O56,VEHICULOS!$F:$F,0))&amp;" con placas "&amp;$O56&amp;", por "&amp;INDEX(VEHICULOS!$Q:$Q,MATCH($O56,VEHICULOS!$F:$F,0))&amp;".","REVISAR: placa no encontrada en VEHICULOS"))</f>
        <v>Parte policial Nro. 2026070901480898413, Hoja de Ingreso y Salida Nro. 0002089, entregado al señor SIGMAEC CIA. LTDA., con cédula 1719633438 del Vehiculo Tipo FURGON marca CHEVROLET, color BLANCO con placas PDX5967, por ACCIDENTE DE TRANSITO.</v>
      </c>
      <c r="F56" s="26">
        <f>IF($O56="","",IFERROR(INDEX(VEHICULOS!$D:$D,MATCH($O56,VEHICULOS!$F:$F,0)),""))</f>
        <v>46212</v>
      </c>
      <c r="G56" s="26">
        <f>IF($O56="","",IFERROR(INDEX(VEHICULOS!$V:$V,MATCH($O56,VEHICULOS!$F:$F,0)),""))</f>
        <v>46231</v>
      </c>
      <c r="H56" s="13"/>
      <c r="I56" s="13" t="s">
        <v>820</v>
      </c>
      <c r="J56" s="13" t="s">
        <v>821</v>
      </c>
      <c r="K56" s="4"/>
      <c r="L56" s="4"/>
      <c r="M56" s="27"/>
      <c r="N56" s="27"/>
      <c r="O56" s="206" t="s">
        <v>744</v>
      </c>
    </row>
    <row r="57" spans="1:15" ht="113.25" customHeight="1">
      <c r="A57" s="13" t="s">
        <v>7</v>
      </c>
      <c r="B57" s="13">
        <v>1</v>
      </c>
      <c r="C57" s="29" t="str">
        <f t="shared" si="0"/>
        <v>0052_2026</v>
      </c>
      <c r="D57" s="24" t="s">
        <v>31</v>
      </c>
      <c r="E57" s="25" t="str">
        <f>IF($O57="","",IFERROR("Parte policial Nro. "&amp;SUBSTITUTE(INDEX(VEHICULOS!$N:$N,MATCH($O57,VEHICULOS!$F:$F,0)),"´","")&amp;", Hoja de Ingreso y Salida Nro. "&amp;TEXT(INDEX(VEHICULOS!$E:$E,MATCH($O57,VEHICULOS!$F:$F,0)),"0000000")&amp;", entregado al señor "&amp;INDEX(VEHICULOS!$P:$P,MATCH($O57,VEHICULOS!$F:$F,0))&amp;", con cédula "&amp;INDEX(VEHICULOS!$Z:$Z,MATCH($O57,VEHICULOS!$F:$F,0))&amp;" del Vehiculo Tipo "&amp;INDEX(VEHICULOS!$H:$H,MATCH($O57,VEHICULOS!$F:$F,0))&amp;" marca "&amp;INDEX(VEHICULOS!$G:$G,MATCH($O57,VEHICULOS!$F:$F,0))&amp;", color "&amp;INDEX(VEHICULOS!$J:$J,MATCH($O57,VEHICULOS!$F:$F,0))&amp;" con placas "&amp;$O57&amp;", por "&amp;INDEX(VEHICULOS!$Q:$Q,MATCH($O57,VEHICULOS!$F:$F,0))&amp;".","REVISAR: placa no encontrada en VEHICULOS"))</f>
        <v>Parte policial Nro. 2026071409104162713, Hoja de Ingreso y Salida Nro. 0002090, entregado al señor ROMERO ABARCA DENNISE ESTEFANIA, con cédula 1714988795 del Vehiculo Tipo BUS marca HINO, color AZUL con placas XAA4034, por ACCIDENTE DE TRANSITO.</v>
      </c>
      <c r="F57" s="26">
        <f>IF($O57="","",IFERROR(INDEX(VEHICULOS!$D:$D,MATCH($O57,VEHICULOS!$F:$F,0)),""))</f>
        <v>46217</v>
      </c>
      <c r="G57" s="26">
        <f>IF($O57="","",IFERROR(INDEX(VEHICULOS!$V:$V,MATCH($O57,VEHICULOS!$F:$F,0)),""))</f>
        <v>46218</v>
      </c>
      <c r="H57" s="13"/>
      <c r="I57" s="13" t="s">
        <v>820</v>
      </c>
      <c r="J57" s="13" t="s">
        <v>821</v>
      </c>
      <c r="K57" s="4"/>
      <c r="L57" s="4"/>
      <c r="M57" s="27"/>
      <c r="N57" s="27"/>
      <c r="O57" s="62" t="s">
        <v>753</v>
      </c>
    </row>
    <row r="58" spans="1:15" ht="113.25" customHeight="1">
      <c r="A58" s="13" t="s">
        <v>7</v>
      </c>
      <c r="B58" s="13">
        <v>1</v>
      </c>
      <c r="C58" s="29" t="str">
        <f t="shared" si="0"/>
        <v>0053_2026</v>
      </c>
      <c r="D58" s="24" t="s">
        <v>31</v>
      </c>
      <c r="E58" s="25" t="str">
        <f>IF($O58="","",IFERROR("Parte policial Nro. "&amp;SUBSTITUTE(INDEX(VEHICULOS!$N:$N,MATCH($O58,VEHICULOS!$F:$F,0)),"´","")&amp;", Hoja de Ingreso y Salida Nro. "&amp;TEXT(INDEX(VEHICULOS!$E:$E,MATCH($O58,VEHICULOS!$F:$F,0)),"0000000")&amp;", entregado al señor "&amp;INDEX(VEHICULOS!$P:$P,MATCH($O58,VEHICULOS!$F:$F,0))&amp;", con cédula "&amp;INDEX(VEHICULOS!$Z:$Z,MATCH($O58,VEHICULOS!$F:$F,0))&amp;" del Vehiculo Tipo "&amp;INDEX(VEHICULOS!$H:$H,MATCH($O58,VEHICULOS!$F:$F,0))&amp;" marca "&amp;INDEX(VEHICULOS!$G:$G,MATCH($O58,VEHICULOS!$F:$F,0))&amp;", color "&amp;INDEX(VEHICULOS!$J:$J,MATCH($O58,VEHICULOS!$F:$F,0))&amp;" con placas "&amp;$O58&amp;", por "&amp;INDEX(VEHICULOS!$Q:$Q,MATCH($O58,VEHICULOS!$F:$F,0))&amp;".","REVISAR: placa no encontrada en VEHICULOS"))</f>
        <v>Parte policial Nro. 2026071703415419318, Hoja de Ingreso y Salida Nro. 0002091, entregado al señor GUACHICULLCA ARIAS LUIS, con cédula 1723801773 del Vehiculo Tipo FURGON marca HYUNDAI, color BLANCO con placas PPC3401, por ART. 386 INCISO 2 #2.</v>
      </c>
      <c r="F58" s="26">
        <f>IF($O58="","",IFERROR(INDEX(VEHICULOS!$D:$D,MATCH($O58,VEHICULOS!$F:$F,0)),""))</f>
        <v>46220</v>
      </c>
      <c r="G58" s="26">
        <f>IF($O58="","",IFERROR(INDEX(VEHICULOS!$V:$V,MATCH($O58,VEHICULOS!$F:$F,0)),""))</f>
        <v>46239</v>
      </c>
      <c r="H58" s="13"/>
      <c r="I58" s="13" t="s">
        <v>820</v>
      </c>
      <c r="J58" s="13" t="s">
        <v>821</v>
      </c>
      <c r="K58" s="4"/>
      <c r="L58" s="4"/>
      <c r="M58" s="27"/>
      <c r="N58" s="27"/>
      <c r="O58" s="206" t="s">
        <v>760</v>
      </c>
    </row>
    <row r="59" spans="1:15" ht="113.25" customHeight="1">
      <c r="A59" s="13" t="s">
        <v>7</v>
      </c>
      <c r="B59" s="13">
        <v>1</v>
      </c>
      <c r="C59" s="29" t="str">
        <f t="shared" si="0"/>
        <v>0054_2026</v>
      </c>
      <c r="D59" s="24" t="s">
        <v>31</v>
      </c>
      <c r="E59" s="25" t="str">
        <f>IF($O59="","",IFERROR("Parte policial Nro. "&amp;SUBSTITUTE(INDEX(VEHICULOS!$N:$N,MATCH($O59,VEHICULOS!$F:$F,0)),"´","")&amp;", Hoja de Ingreso y Salida Nro. "&amp;TEXT(INDEX(VEHICULOS!$E:$E,MATCH($O59,VEHICULOS!$F:$F,0)),"0000000")&amp;", entregado al señor "&amp;INDEX(VEHICULOS!$P:$P,MATCH($O59,VEHICULOS!$F:$F,0))&amp;", con cédula "&amp;INDEX(VEHICULOS!$Z:$Z,MATCH($O59,VEHICULOS!$F:$F,0))&amp;" del Vehiculo Tipo "&amp;INDEX(VEHICULOS!$H:$H,MATCH($O59,VEHICULOS!$F:$F,0))&amp;" marca "&amp;INDEX(VEHICULOS!$G:$G,MATCH($O59,VEHICULOS!$F:$F,0))&amp;", color "&amp;INDEX(VEHICULOS!$J:$J,MATCH($O59,VEHICULOS!$F:$F,0))&amp;" con placas "&amp;$O59&amp;", por "&amp;INDEX(VEHICULOS!$Q:$Q,MATCH($O59,VEHICULOS!$F:$F,0))&amp;".","REVISAR: placa no encontrada en VEHICULOS"))</f>
        <v>Parte policial Nro. 2026061809194716316, Hoja de Ingreso y Salida Nro. 0002081, entregado al señor EXTRACTORA AGRICOLA RIO MANSO EXA S.A. , con cédula 1307482693 del Vehiculo Tipo VOLQUETA marca INTERNACIONAL, color BLANCO con placas PTL0970, por ACCIDENTE DE TRANSITO.</v>
      </c>
      <c r="F59" s="26">
        <f>IF($O59="","",IFERROR(INDEX(VEHICULOS!$D:$D,MATCH($O59,VEHICULOS!$F:$F,0)),""))</f>
        <v>46191</v>
      </c>
      <c r="G59" s="26">
        <f>IF($O59="","",IFERROR(INDEX(VEHICULOS!$V:$V,MATCH($O59,VEHICULOS!$F:$F,0)),""))</f>
        <v>46235</v>
      </c>
      <c r="H59" s="13"/>
      <c r="I59" s="13" t="s">
        <v>820</v>
      </c>
      <c r="J59" s="13" t="s">
        <v>821</v>
      </c>
      <c r="K59" s="4"/>
      <c r="L59" s="4"/>
      <c r="M59" s="27"/>
      <c r="N59" s="27"/>
      <c r="O59" t="s">
        <v>679</v>
      </c>
    </row>
    <row r="60" spans="1:15" ht="113.25" customHeight="1">
      <c r="A60" s="13" t="s">
        <v>7</v>
      </c>
      <c r="B60" s="13">
        <v>1</v>
      </c>
      <c r="C60" s="29" t="str">
        <f t="shared" si="0"/>
        <v>0055_2026</v>
      </c>
      <c r="D60" s="24" t="s">
        <v>31</v>
      </c>
      <c r="E60" s="25" t="str">
        <f>IF($O60="","",IFERROR("Parte policial Nro. "&amp;SUBSTITUTE(INDEX(VEHICULOS!$N:$N,MATCH($O60,VEHICULOS!$F:$F,0)),"´","")&amp;", Hoja de Ingreso y Salida Nro. "&amp;TEXT(INDEX(VEHICULOS!$E:$E,MATCH($O60,VEHICULOS!$F:$F,0)),"0000000")&amp;", entregado al señor "&amp;INDEX(VEHICULOS!$P:$P,MATCH($O60,VEHICULOS!$F:$F,0))&amp;", con cédula "&amp;INDEX(VEHICULOS!$Z:$Z,MATCH($O60,VEHICULOS!$F:$F,0))&amp;" del Vehiculo Tipo "&amp;INDEX(VEHICULOS!$H:$H,MATCH($O60,VEHICULOS!$F:$F,0))&amp;" marca "&amp;INDEX(VEHICULOS!$G:$G,MATCH($O60,VEHICULOS!$F:$F,0))&amp;", color "&amp;INDEX(VEHICULOS!$J:$J,MATCH($O60,VEHICULOS!$F:$F,0))&amp;" con placas "&amp;$O60&amp;", por "&amp;INDEX(VEHICULOS!$Q:$Q,MATCH($O60,VEHICULOS!$F:$F,0))&amp;".","REVISAR: placa no encontrada en VEHICULOS"))</f>
        <v>Parte policial Nro. 2026062708383249212, Hoja de Ingreso y Salida Nro. 0002085, entregado al señor MENDOZA RENDON ORLANDO ALEJANDRO, con cédula 0502246978 del Vehiculo Tipo AUTOBUS marca HINO, color AZUL con placas IAI3101, por ART. 389 NUMERAL 7.</v>
      </c>
      <c r="F60" s="26">
        <f>IF($O60="","",IFERROR(INDEX(VEHICULOS!$D:$D,MATCH($O60,VEHICULOS!$F:$F,0)),""))</f>
        <v>46200</v>
      </c>
      <c r="G60" s="26">
        <f>IF($O60="","",IFERROR(INDEX(VEHICULOS!$V:$V,MATCH($O60,VEHICULOS!$F:$F,0)),""))</f>
        <v>46218</v>
      </c>
      <c r="H60" s="13"/>
      <c r="I60" s="13" t="s">
        <v>820</v>
      </c>
      <c r="J60" s="13" t="s">
        <v>821</v>
      </c>
      <c r="K60" s="4"/>
      <c r="L60" s="4"/>
      <c r="M60" s="27"/>
      <c r="N60" s="27"/>
      <c r="O60" s="251" t="s">
        <v>709</v>
      </c>
    </row>
    <row r="61" spans="1:15" ht="113.25" customHeight="1">
      <c r="A61" s="13" t="s">
        <v>7</v>
      </c>
      <c r="B61" s="13">
        <v>1</v>
      </c>
      <c r="C61" s="29" t="str">
        <f t="shared" si="0"/>
        <v>0056_2026</v>
      </c>
      <c r="D61" s="24" t="s">
        <v>31</v>
      </c>
      <c r="E61" s="25" t="str">
        <f>IF($O61="","",IFERROR("Parte policial Nro. "&amp;SUBSTITUTE(INDEX(VEHICULOS!$N:$N,MATCH($O61,VEHICULOS!$F:$F,0)),"´","")&amp;", Hoja de Ingreso y Salida Nro. "&amp;TEXT(INDEX(VEHICULOS!$E:$E,MATCH($O61,VEHICULOS!$F:$F,0)),"0000000")&amp;", entregado al señor "&amp;INDEX(VEHICULOS!$P:$P,MATCH($O61,VEHICULOS!$F:$F,0))&amp;", con cédula "&amp;INDEX(VEHICULOS!$Z:$Z,MATCH($O61,VEHICULOS!$F:$F,0))&amp;" del Vehiculo Tipo "&amp;INDEX(VEHICULOS!$H:$H,MATCH($O61,VEHICULOS!$F:$F,0))&amp;" marca "&amp;INDEX(VEHICULOS!$G:$G,MATCH($O61,VEHICULOS!$F:$F,0))&amp;", color "&amp;INDEX(VEHICULOS!$J:$J,MATCH($O61,VEHICULOS!$F:$F,0))&amp;" con placas "&amp;$O61&amp;", por "&amp;INDEX(VEHICULOS!$Q:$Q,MATCH($O61,VEHICULOS!$F:$F,0))&amp;".","REVISAR: placa no encontrada en VEHICULOS"))</f>
        <v/>
      </c>
      <c r="F61" s="26" t="str">
        <f>IF($O61="","",IFERROR(INDEX(VEHICULOS!$D:$D,MATCH($O61,VEHICULOS!$F:$F,0)),""))</f>
        <v/>
      </c>
      <c r="G61" s="26" t="str">
        <f>IF($O61="","",IFERROR(INDEX(VEHICULOS!$V:$V,MATCH($O61,VEHICULOS!$F:$F,0)),""))</f>
        <v/>
      </c>
      <c r="H61" s="13"/>
      <c r="I61" s="13" t="s">
        <v>820</v>
      </c>
      <c r="J61" s="13" t="s">
        <v>821</v>
      </c>
      <c r="K61" s="4"/>
      <c r="L61" s="4"/>
      <c r="M61" s="27"/>
      <c r="N61" s="27"/>
    </row>
    <row r="62" spans="1:15" ht="113.25" customHeight="1">
      <c r="A62" s="13" t="s">
        <v>7</v>
      </c>
      <c r="B62" s="13">
        <v>1</v>
      </c>
      <c r="C62" s="29" t="str">
        <f t="shared" si="0"/>
        <v>0057_2026</v>
      </c>
      <c r="D62" s="24" t="s">
        <v>31</v>
      </c>
      <c r="E62" s="25" t="str">
        <f>IF($O62="","",IFERROR("Parte policial Nro. "&amp;SUBSTITUTE(INDEX(VEHICULOS!$N:$N,MATCH($O62,VEHICULOS!$F:$F,0)),"´","")&amp;", Hoja de Ingreso y Salida Nro. "&amp;TEXT(INDEX(VEHICULOS!$E:$E,MATCH($O62,VEHICULOS!$F:$F,0)),"0000000")&amp;", entregado al señor "&amp;INDEX(VEHICULOS!$P:$P,MATCH($O62,VEHICULOS!$F:$F,0))&amp;", con cédula "&amp;INDEX(VEHICULOS!$Z:$Z,MATCH($O62,VEHICULOS!$F:$F,0))&amp;" del Vehiculo Tipo "&amp;INDEX(VEHICULOS!$H:$H,MATCH($O62,VEHICULOS!$F:$F,0))&amp;" marca "&amp;INDEX(VEHICULOS!$G:$G,MATCH($O62,VEHICULOS!$F:$F,0))&amp;", color "&amp;INDEX(VEHICULOS!$J:$J,MATCH($O62,VEHICULOS!$F:$F,0))&amp;" con placas "&amp;$O62&amp;", por "&amp;INDEX(VEHICULOS!$Q:$Q,MATCH($O62,VEHICULOS!$F:$F,0))&amp;".","REVISAR: placa no encontrada en VEHICULOS"))</f>
        <v/>
      </c>
      <c r="F62" s="26" t="str">
        <f>IF($O62="","",IFERROR(INDEX(VEHICULOS!$D:$D,MATCH($O62,VEHICULOS!$F:$F,0)),""))</f>
        <v/>
      </c>
      <c r="G62" s="26" t="str">
        <f>IF($O62="","",IFERROR(INDEX(VEHICULOS!$V:$V,MATCH($O62,VEHICULOS!$F:$F,0)),""))</f>
        <v/>
      </c>
      <c r="H62" s="13"/>
      <c r="I62" s="13" t="s">
        <v>820</v>
      </c>
      <c r="J62" s="13" t="s">
        <v>821</v>
      </c>
      <c r="K62" s="4"/>
      <c r="L62" s="4"/>
      <c r="M62" s="27"/>
      <c r="N62" s="27"/>
    </row>
    <row r="63" spans="1:15" ht="113.25" customHeight="1">
      <c r="A63" s="13" t="s">
        <v>7</v>
      </c>
      <c r="B63" s="13">
        <v>1</v>
      </c>
      <c r="C63" s="29" t="str">
        <f t="shared" si="0"/>
        <v>0058_2026</v>
      </c>
      <c r="D63" s="24" t="s">
        <v>31</v>
      </c>
      <c r="E63" s="25" t="str">
        <f>IF($O63="","",IFERROR("Parte policial Nro. "&amp;SUBSTITUTE(INDEX(VEHICULOS!$N:$N,MATCH($O63,VEHICULOS!$F:$F,0)),"´","")&amp;", Hoja de Ingreso y Salida Nro. "&amp;TEXT(INDEX(VEHICULOS!$E:$E,MATCH($O63,VEHICULOS!$F:$F,0)),"0000000")&amp;", entregado al señor "&amp;INDEX(VEHICULOS!$P:$P,MATCH($O63,VEHICULOS!$F:$F,0))&amp;", con cédula "&amp;INDEX(VEHICULOS!$Z:$Z,MATCH($O63,VEHICULOS!$F:$F,0))&amp;" del Vehiculo Tipo "&amp;INDEX(VEHICULOS!$H:$H,MATCH($O63,VEHICULOS!$F:$F,0))&amp;" marca "&amp;INDEX(VEHICULOS!$G:$G,MATCH($O63,VEHICULOS!$F:$F,0))&amp;", color "&amp;INDEX(VEHICULOS!$J:$J,MATCH($O63,VEHICULOS!$F:$F,0))&amp;" con placas "&amp;$O63&amp;", por "&amp;INDEX(VEHICULOS!$Q:$Q,MATCH($O63,VEHICULOS!$F:$F,0))&amp;".","REVISAR: placa no encontrada en VEHICULOS"))</f>
        <v/>
      </c>
      <c r="F63" s="26" t="str">
        <f>IF($O63="","",IFERROR(INDEX(VEHICULOS!$D:$D,MATCH($O63,VEHICULOS!$F:$F,0)),""))</f>
        <v/>
      </c>
      <c r="G63" s="26" t="str">
        <f>IF($O63="","",IFERROR(INDEX(VEHICULOS!$V:$V,MATCH($O63,VEHICULOS!$F:$F,0)),""))</f>
        <v/>
      </c>
      <c r="H63" s="13"/>
      <c r="I63" s="13" t="s">
        <v>820</v>
      </c>
      <c r="J63" s="13" t="s">
        <v>821</v>
      </c>
      <c r="K63" s="4"/>
      <c r="L63" s="4"/>
      <c r="M63" s="27"/>
      <c r="N63" s="27"/>
    </row>
    <row r="64" spans="1:15" ht="113.25" customHeight="1">
      <c r="A64" s="13" t="s">
        <v>7</v>
      </c>
      <c r="B64" s="13">
        <v>1</v>
      </c>
      <c r="C64" s="29" t="str">
        <f t="shared" si="0"/>
        <v>0059_2026</v>
      </c>
      <c r="D64" s="24" t="s">
        <v>31</v>
      </c>
      <c r="E64" s="25" t="str">
        <f>IF($O64="","",IFERROR("Parte policial Nro. "&amp;SUBSTITUTE(INDEX(VEHICULOS!$N:$N,MATCH($O64,VEHICULOS!$F:$F,0)),"´","")&amp;", Hoja de Ingreso y Salida Nro. "&amp;TEXT(INDEX(VEHICULOS!$E:$E,MATCH($O64,VEHICULOS!$F:$F,0)),"0000000")&amp;", entregado al señor "&amp;INDEX(VEHICULOS!$P:$P,MATCH($O64,VEHICULOS!$F:$F,0))&amp;", con cédula "&amp;INDEX(VEHICULOS!$Z:$Z,MATCH($O64,VEHICULOS!$F:$F,0))&amp;" del Vehiculo Tipo "&amp;INDEX(VEHICULOS!$H:$H,MATCH($O64,VEHICULOS!$F:$F,0))&amp;" marca "&amp;INDEX(VEHICULOS!$G:$G,MATCH($O64,VEHICULOS!$F:$F,0))&amp;", color "&amp;INDEX(VEHICULOS!$J:$J,MATCH($O64,VEHICULOS!$F:$F,0))&amp;" con placas "&amp;$O64&amp;", por "&amp;INDEX(VEHICULOS!$Q:$Q,MATCH($O64,VEHICULOS!$F:$F,0))&amp;".","REVISAR: placa no encontrada en VEHICULOS"))</f>
        <v/>
      </c>
      <c r="F64" s="26" t="str">
        <f>IF($O64="","",IFERROR(INDEX(VEHICULOS!$D:$D,MATCH($O64,VEHICULOS!$F:$F,0)),""))</f>
        <v/>
      </c>
      <c r="G64" s="26" t="str">
        <f>IF($O64="","",IFERROR(INDEX(VEHICULOS!$V:$V,MATCH($O64,VEHICULOS!$F:$F,0)),""))</f>
        <v/>
      </c>
      <c r="H64" s="13"/>
      <c r="I64" s="13" t="s">
        <v>820</v>
      </c>
      <c r="J64" s="13" t="s">
        <v>821</v>
      </c>
      <c r="K64" s="4"/>
      <c r="L64" s="4"/>
      <c r="M64" s="27"/>
      <c r="N64" s="27"/>
    </row>
    <row r="65" spans="1:14" ht="113.25" customHeight="1">
      <c r="A65" s="13" t="s">
        <v>7</v>
      </c>
      <c r="B65" s="13">
        <v>1</v>
      </c>
      <c r="C65" s="29" t="str">
        <f t="shared" si="0"/>
        <v>0060_2026</v>
      </c>
      <c r="D65" s="24" t="s">
        <v>31</v>
      </c>
      <c r="E65" s="25" t="str">
        <f>IF($O65="","",IFERROR("Parte policial Nro. "&amp;SUBSTITUTE(INDEX(VEHICULOS!$N:$N,MATCH($O65,VEHICULOS!$F:$F,0)),"´","")&amp;", Hoja de Ingreso y Salida Nro. "&amp;TEXT(INDEX(VEHICULOS!$E:$E,MATCH($O65,VEHICULOS!$F:$F,0)),"0000000")&amp;", entregado al señor "&amp;INDEX(VEHICULOS!$P:$P,MATCH($O65,VEHICULOS!$F:$F,0))&amp;", con cédula "&amp;INDEX(VEHICULOS!$Z:$Z,MATCH($O65,VEHICULOS!$F:$F,0))&amp;" del Vehiculo Tipo "&amp;INDEX(VEHICULOS!$H:$H,MATCH($O65,VEHICULOS!$F:$F,0))&amp;" marca "&amp;INDEX(VEHICULOS!$G:$G,MATCH($O65,VEHICULOS!$F:$F,0))&amp;", color "&amp;INDEX(VEHICULOS!$J:$J,MATCH($O65,VEHICULOS!$F:$F,0))&amp;" con placas "&amp;$O65&amp;", por "&amp;INDEX(VEHICULOS!$Q:$Q,MATCH($O65,VEHICULOS!$F:$F,0))&amp;".","REVISAR: placa no encontrada en VEHICULOS"))</f>
        <v/>
      </c>
      <c r="F65" s="26" t="str">
        <f>IF($O65="","",IFERROR(INDEX(VEHICULOS!$D:$D,MATCH($O65,VEHICULOS!$F:$F,0)),""))</f>
        <v/>
      </c>
      <c r="G65" s="26" t="str">
        <f>IF($O65="","",IFERROR(INDEX(VEHICULOS!$V:$V,MATCH($O65,VEHICULOS!$F:$F,0)),""))</f>
        <v/>
      </c>
      <c r="H65" s="13"/>
      <c r="I65" s="13" t="s">
        <v>820</v>
      </c>
      <c r="J65" s="13" t="s">
        <v>821</v>
      </c>
      <c r="K65" s="4"/>
      <c r="L65" s="4"/>
      <c r="M65" s="27"/>
      <c r="N65" s="27"/>
    </row>
    <row r="66" spans="1:14" ht="113.25" customHeight="1">
      <c r="A66" s="13" t="s">
        <v>7</v>
      </c>
      <c r="B66" s="13">
        <v>1</v>
      </c>
      <c r="C66" s="29" t="str">
        <f t="shared" si="0"/>
        <v>0061_2026</v>
      </c>
      <c r="D66" s="24" t="s">
        <v>31</v>
      </c>
      <c r="E66" s="25" t="str">
        <f>IF($O66="","",IFERROR("Parte policial Nro. "&amp;SUBSTITUTE(INDEX(VEHICULOS!$N:$N,MATCH($O66,VEHICULOS!$F:$F,0)),"´","")&amp;", Hoja de Ingreso y Salida Nro. "&amp;TEXT(INDEX(VEHICULOS!$E:$E,MATCH($O66,VEHICULOS!$F:$F,0)),"0000000")&amp;", entregado al señor "&amp;INDEX(VEHICULOS!$P:$P,MATCH($O66,VEHICULOS!$F:$F,0))&amp;", con cédula "&amp;INDEX(VEHICULOS!$Z:$Z,MATCH($O66,VEHICULOS!$F:$F,0))&amp;" del Vehiculo Tipo "&amp;INDEX(VEHICULOS!$H:$H,MATCH($O66,VEHICULOS!$F:$F,0))&amp;" marca "&amp;INDEX(VEHICULOS!$G:$G,MATCH($O66,VEHICULOS!$F:$F,0))&amp;", color "&amp;INDEX(VEHICULOS!$J:$J,MATCH($O66,VEHICULOS!$F:$F,0))&amp;" con placas "&amp;$O66&amp;", por "&amp;INDEX(VEHICULOS!$Q:$Q,MATCH($O66,VEHICULOS!$F:$F,0))&amp;".","REVISAR: placa no encontrada en VEHICULOS"))</f>
        <v/>
      </c>
      <c r="F66" s="26" t="str">
        <f>IF($O66="","",IFERROR(INDEX(VEHICULOS!$D:$D,MATCH($O66,VEHICULOS!$F:$F,0)),""))</f>
        <v/>
      </c>
      <c r="G66" s="26" t="str">
        <f>IF($O66="","",IFERROR(INDEX(VEHICULOS!$V:$V,MATCH($O66,VEHICULOS!$F:$F,0)),""))</f>
        <v/>
      </c>
      <c r="H66" s="13"/>
      <c r="I66" s="13" t="s">
        <v>820</v>
      </c>
      <c r="J66" s="13" t="s">
        <v>821</v>
      </c>
      <c r="K66" s="4"/>
      <c r="L66" s="4"/>
      <c r="M66" s="27"/>
      <c r="N66" s="27"/>
    </row>
    <row r="67" spans="1:14" ht="113.25" customHeight="1">
      <c r="A67" s="13" t="s">
        <v>7</v>
      </c>
      <c r="B67" s="13">
        <v>1</v>
      </c>
      <c r="C67" s="29" t="str">
        <f t="shared" si="0"/>
        <v>0062_2026</v>
      </c>
      <c r="D67" s="24" t="s">
        <v>31</v>
      </c>
      <c r="E67" s="25" t="str">
        <f>IF($O67="","",IFERROR("Parte policial Nro. "&amp;SUBSTITUTE(INDEX(VEHICULOS!$N:$N,MATCH($O67,VEHICULOS!$F:$F,0)),"´","")&amp;", Hoja de Ingreso y Salida Nro. "&amp;TEXT(INDEX(VEHICULOS!$E:$E,MATCH($O67,VEHICULOS!$F:$F,0)),"0000000")&amp;", entregado al señor "&amp;INDEX(VEHICULOS!$P:$P,MATCH($O67,VEHICULOS!$F:$F,0))&amp;", con cédula "&amp;INDEX(VEHICULOS!$Z:$Z,MATCH($O67,VEHICULOS!$F:$F,0))&amp;" del Vehiculo Tipo "&amp;INDEX(VEHICULOS!$H:$H,MATCH($O67,VEHICULOS!$F:$F,0))&amp;" marca "&amp;INDEX(VEHICULOS!$G:$G,MATCH($O67,VEHICULOS!$F:$F,0))&amp;", color "&amp;INDEX(VEHICULOS!$J:$J,MATCH($O67,VEHICULOS!$F:$F,0))&amp;" con placas "&amp;$O67&amp;", por "&amp;INDEX(VEHICULOS!$Q:$Q,MATCH($O67,VEHICULOS!$F:$F,0))&amp;".","REVISAR: placa no encontrada en VEHICULOS"))</f>
        <v/>
      </c>
      <c r="F67" s="26" t="str">
        <f>IF($O67="","",IFERROR(INDEX(VEHICULOS!$D:$D,MATCH($O67,VEHICULOS!$F:$F,0)),""))</f>
        <v/>
      </c>
      <c r="G67" s="26" t="str">
        <f>IF($O67="","",IFERROR(INDEX(VEHICULOS!$V:$V,MATCH($O67,VEHICULOS!$F:$F,0)),""))</f>
        <v/>
      </c>
      <c r="H67" s="13"/>
      <c r="I67" s="13" t="s">
        <v>820</v>
      </c>
      <c r="J67" s="13" t="s">
        <v>821</v>
      </c>
      <c r="K67" s="4"/>
      <c r="L67" s="4"/>
      <c r="M67" s="27"/>
      <c r="N67" s="27"/>
    </row>
    <row r="68" spans="1:14" ht="113.25" customHeight="1">
      <c r="A68" s="13" t="s">
        <v>7</v>
      </c>
      <c r="B68" s="13">
        <v>1</v>
      </c>
      <c r="C68" s="29" t="str">
        <f t="shared" si="0"/>
        <v>0063_2026</v>
      </c>
      <c r="D68" s="24" t="s">
        <v>31</v>
      </c>
      <c r="E68" s="25" t="str">
        <f>IF($O68="","",IFERROR("Parte policial Nro. "&amp;SUBSTITUTE(INDEX(VEHICULOS!$N:$N,MATCH($O68,VEHICULOS!$F:$F,0)),"´","")&amp;", Hoja de Ingreso y Salida Nro. "&amp;TEXT(INDEX(VEHICULOS!$E:$E,MATCH($O68,VEHICULOS!$F:$F,0)),"0000000")&amp;", entregado al señor "&amp;INDEX(VEHICULOS!$P:$P,MATCH($O68,VEHICULOS!$F:$F,0))&amp;", con cédula "&amp;INDEX(VEHICULOS!$Z:$Z,MATCH($O68,VEHICULOS!$F:$F,0))&amp;" del Vehiculo Tipo "&amp;INDEX(VEHICULOS!$H:$H,MATCH($O68,VEHICULOS!$F:$F,0))&amp;" marca "&amp;INDEX(VEHICULOS!$G:$G,MATCH($O68,VEHICULOS!$F:$F,0))&amp;", color "&amp;INDEX(VEHICULOS!$J:$J,MATCH($O68,VEHICULOS!$F:$F,0))&amp;" con placas "&amp;$O68&amp;", por "&amp;INDEX(VEHICULOS!$Q:$Q,MATCH($O68,VEHICULOS!$F:$F,0))&amp;".","REVISAR: placa no encontrada en VEHICULOS"))</f>
        <v/>
      </c>
      <c r="F68" s="26" t="str">
        <f>IF($O68="","",IFERROR(INDEX(VEHICULOS!$D:$D,MATCH($O68,VEHICULOS!$F:$F,0)),""))</f>
        <v/>
      </c>
      <c r="G68" s="26" t="str">
        <f>IF($O68="","",IFERROR(INDEX(VEHICULOS!$V:$V,MATCH($O68,VEHICULOS!$F:$F,0)),""))</f>
        <v/>
      </c>
      <c r="H68" s="13"/>
      <c r="I68" s="13" t="s">
        <v>820</v>
      </c>
      <c r="J68" s="13" t="s">
        <v>821</v>
      </c>
      <c r="K68" s="4"/>
      <c r="L68" s="4"/>
      <c r="M68" s="27"/>
      <c r="N68" s="27"/>
    </row>
    <row r="69" spans="1:14" ht="113.25" customHeight="1">
      <c r="A69" s="13"/>
      <c r="B69" s="13"/>
      <c r="C69" s="24"/>
      <c r="D69" s="24"/>
      <c r="E69" s="25"/>
      <c r="F69" s="26"/>
      <c r="G69" s="26"/>
      <c r="H69" s="13"/>
      <c r="I69" s="13"/>
      <c r="J69" s="13"/>
      <c r="K69" s="4"/>
      <c r="L69" s="4"/>
      <c r="M69" s="27"/>
      <c r="N69" s="27"/>
    </row>
    <row r="70" spans="1:14" ht="113.25" customHeight="1">
      <c r="A70" s="13"/>
      <c r="B70" s="13"/>
      <c r="C70" s="24"/>
      <c r="D70" s="24"/>
      <c r="E70" s="25"/>
      <c r="F70" s="26"/>
      <c r="G70" s="26"/>
      <c r="H70" s="13"/>
      <c r="I70" s="13"/>
      <c r="J70" s="13"/>
      <c r="K70" s="4"/>
      <c r="L70" s="4"/>
      <c r="M70" s="27"/>
      <c r="N70" s="27"/>
    </row>
    <row r="71" spans="1:14" ht="113.25" customHeight="1">
      <c r="A71" s="13"/>
      <c r="B71" s="13"/>
      <c r="C71" s="24"/>
      <c r="D71" s="24"/>
      <c r="E71" s="25"/>
      <c r="F71" s="26"/>
      <c r="G71" s="26"/>
      <c r="H71" s="13"/>
      <c r="I71" s="13"/>
      <c r="J71" s="13"/>
      <c r="K71" s="4"/>
      <c r="L71" s="4"/>
      <c r="M71" s="27"/>
      <c r="N71" s="27"/>
    </row>
    <row r="72" spans="1:14" ht="113.25" customHeight="1">
      <c r="A72" s="13"/>
      <c r="B72" s="13"/>
      <c r="C72" s="24"/>
      <c r="D72" s="24"/>
      <c r="E72" s="25"/>
      <c r="F72" s="26"/>
      <c r="G72" s="26"/>
      <c r="H72" s="13"/>
      <c r="I72" s="13"/>
      <c r="J72" s="13"/>
      <c r="K72" s="4"/>
      <c r="L72" s="4"/>
      <c r="M72" s="27"/>
      <c r="N72" s="27"/>
    </row>
    <row r="73" spans="1:14" ht="113.25" customHeight="1">
      <c r="A73" s="13"/>
      <c r="B73" s="13"/>
      <c r="C73" s="24"/>
      <c r="D73" s="24"/>
      <c r="E73" s="25"/>
      <c r="F73" s="26"/>
      <c r="G73" s="26"/>
      <c r="H73" s="13"/>
      <c r="I73" s="13"/>
      <c r="J73" s="13"/>
      <c r="K73" s="4"/>
      <c r="L73" s="4"/>
      <c r="M73" s="27"/>
      <c r="N73" s="27"/>
    </row>
    <row r="74" spans="1:14" ht="113.25" customHeight="1">
      <c r="A74" s="13"/>
      <c r="B74" s="13"/>
      <c r="C74" s="24"/>
      <c r="D74" s="24"/>
      <c r="E74" s="25"/>
      <c r="F74" s="26"/>
      <c r="G74" s="26"/>
      <c r="H74" s="13"/>
      <c r="I74" s="13"/>
      <c r="J74" s="13"/>
      <c r="K74" s="4"/>
      <c r="L74" s="4"/>
      <c r="M74" s="27"/>
      <c r="N74" s="27"/>
    </row>
    <row r="75" spans="1:14" ht="113.25" customHeight="1">
      <c r="A75" s="13"/>
      <c r="B75" s="13"/>
      <c r="C75" s="24"/>
      <c r="D75" s="24"/>
      <c r="E75" s="25"/>
      <c r="F75" s="26"/>
      <c r="G75" s="26"/>
      <c r="H75" s="13"/>
      <c r="I75" s="13"/>
      <c r="J75" s="13"/>
      <c r="K75" s="4"/>
      <c r="L75" s="4"/>
      <c r="M75" s="27"/>
      <c r="N75" s="27"/>
    </row>
    <row r="76" spans="1:14" ht="113.25" customHeight="1">
      <c r="A76" s="13"/>
      <c r="B76" s="13"/>
      <c r="C76" s="24"/>
      <c r="D76" s="24"/>
      <c r="E76" s="25"/>
      <c r="F76" s="26"/>
      <c r="G76" s="26"/>
      <c r="H76" s="13"/>
      <c r="I76" s="13"/>
      <c r="J76" s="13"/>
      <c r="K76" s="4"/>
      <c r="L76" s="4"/>
      <c r="M76" s="27"/>
      <c r="N76" s="27"/>
    </row>
    <row r="77" spans="1:14" ht="113.25" customHeight="1">
      <c r="A77" s="13"/>
      <c r="B77" s="13"/>
      <c r="C77" s="24"/>
      <c r="D77" s="24"/>
      <c r="E77" s="25"/>
      <c r="F77" s="26"/>
      <c r="G77" s="26"/>
      <c r="H77" s="13"/>
      <c r="I77" s="13"/>
      <c r="J77" s="13"/>
      <c r="K77" s="4"/>
      <c r="L77" s="4"/>
      <c r="M77" s="27"/>
      <c r="N77" s="27"/>
    </row>
    <row r="78" spans="1:14" ht="113.25" customHeight="1">
      <c r="A78" s="13"/>
      <c r="B78" s="13"/>
      <c r="C78" s="24"/>
      <c r="D78" s="24"/>
      <c r="E78" s="25"/>
      <c r="F78" s="26"/>
      <c r="G78" s="26"/>
      <c r="H78" s="13"/>
      <c r="I78" s="13"/>
      <c r="J78" s="13"/>
      <c r="K78" s="4"/>
      <c r="L78" s="4"/>
      <c r="M78" s="27"/>
      <c r="N78" s="27"/>
    </row>
    <row r="79" spans="1:14" ht="113.25" customHeight="1">
      <c r="A79" s="13"/>
      <c r="B79" s="13"/>
      <c r="C79" s="24"/>
      <c r="D79" s="24"/>
      <c r="E79" s="25"/>
      <c r="F79" s="26"/>
      <c r="G79" s="26"/>
      <c r="H79" s="13"/>
      <c r="I79" s="13"/>
      <c r="J79" s="13"/>
      <c r="K79" s="4"/>
      <c r="L79" s="4"/>
      <c r="M79" s="27"/>
      <c r="N79" s="27"/>
    </row>
    <row r="80" spans="1:14" ht="113.25" customHeight="1">
      <c r="A80" s="13"/>
      <c r="B80" s="13"/>
      <c r="C80" s="24"/>
      <c r="D80" s="24"/>
      <c r="E80" s="25"/>
      <c r="F80" s="26"/>
      <c r="G80" s="26"/>
      <c r="H80" s="13"/>
      <c r="I80" s="13"/>
      <c r="J80" s="13"/>
      <c r="K80" s="4"/>
      <c r="L80" s="4"/>
      <c r="M80" s="27"/>
      <c r="N80" s="27"/>
    </row>
    <row r="81" spans="1:14" ht="113.25" customHeight="1">
      <c r="A81" s="13"/>
      <c r="B81" s="13"/>
      <c r="C81" s="24"/>
      <c r="D81" s="24"/>
      <c r="E81" s="25"/>
      <c r="F81" s="26"/>
      <c r="G81" s="26"/>
      <c r="H81" s="13"/>
      <c r="I81" s="13"/>
      <c r="J81" s="13"/>
      <c r="K81" s="4"/>
      <c r="L81" s="4"/>
      <c r="M81" s="27"/>
      <c r="N81" s="27"/>
    </row>
    <row r="82" spans="1:14" ht="113.25" customHeight="1">
      <c r="A82" s="13"/>
      <c r="B82" s="13"/>
      <c r="C82" s="24"/>
      <c r="D82" s="24"/>
      <c r="E82" s="25"/>
      <c r="F82" s="26"/>
      <c r="G82" s="26"/>
      <c r="H82" s="13"/>
      <c r="I82" s="13"/>
      <c r="J82" s="13"/>
      <c r="K82" s="4"/>
      <c r="L82" s="4"/>
      <c r="M82" s="27"/>
      <c r="N82" s="27"/>
    </row>
    <row r="83" spans="1:14" ht="113.25" customHeight="1">
      <c r="A83" s="13"/>
      <c r="B83" s="13"/>
      <c r="C83" s="24"/>
      <c r="D83" s="24"/>
      <c r="E83" s="25"/>
      <c r="F83" s="26"/>
      <c r="G83" s="26"/>
      <c r="H83" s="13"/>
      <c r="I83" s="13"/>
      <c r="J83" s="13"/>
      <c r="K83" s="4"/>
      <c r="L83" s="4"/>
      <c r="M83" s="27"/>
      <c r="N83" s="27"/>
    </row>
    <row r="84" spans="1:14" ht="113.25" customHeight="1">
      <c r="A84" s="13"/>
      <c r="B84" s="13"/>
      <c r="C84" s="24"/>
      <c r="D84" s="24"/>
      <c r="E84" s="25"/>
      <c r="F84" s="26"/>
      <c r="G84" s="26"/>
      <c r="H84" s="13"/>
      <c r="I84" s="13"/>
      <c r="J84" s="13"/>
      <c r="K84" s="4"/>
      <c r="L84" s="4"/>
      <c r="M84" s="27"/>
      <c r="N84" s="27"/>
    </row>
    <row r="85" spans="1:14" ht="113.25" customHeight="1">
      <c r="A85" s="13"/>
      <c r="B85" s="13"/>
      <c r="C85" s="24"/>
      <c r="D85" s="24"/>
      <c r="E85" s="25"/>
      <c r="F85" s="26"/>
      <c r="G85" s="26"/>
      <c r="H85" s="13"/>
      <c r="I85" s="13"/>
      <c r="J85" s="13"/>
      <c r="K85" s="4"/>
      <c r="L85" s="4"/>
      <c r="M85" s="27"/>
      <c r="N85" s="27"/>
    </row>
    <row r="86" spans="1:14" ht="113.25" customHeight="1">
      <c r="A86" s="13"/>
      <c r="B86" s="13"/>
      <c r="C86" s="24"/>
      <c r="D86" s="24"/>
      <c r="E86" s="25"/>
      <c r="F86" s="26"/>
      <c r="G86" s="26"/>
      <c r="H86" s="13"/>
      <c r="I86" s="13"/>
      <c r="J86" s="13"/>
      <c r="K86" s="4"/>
      <c r="L86" s="4"/>
      <c r="M86" s="27"/>
      <c r="N86" s="27"/>
    </row>
    <row r="87" spans="1:14" ht="113.25" customHeight="1">
      <c r="A87" s="13"/>
      <c r="B87" s="13"/>
      <c r="C87" s="24"/>
      <c r="D87" s="24"/>
      <c r="E87" s="25"/>
      <c r="F87" s="26"/>
      <c r="G87" s="26"/>
      <c r="H87" s="13"/>
      <c r="I87" s="13"/>
      <c r="J87" s="13"/>
      <c r="K87" s="4"/>
      <c r="L87" s="4"/>
      <c r="M87" s="27"/>
      <c r="N87" s="27"/>
    </row>
    <row r="88" spans="1:14" ht="113.25" customHeight="1">
      <c r="A88" s="13"/>
      <c r="B88" s="13"/>
      <c r="C88" s="24"/>
      <c r="D88" s="24"/>
      <c r="E88" s="25"/>
      <c r="F88" s="26"/>
      <c r="G88" s="26"/>
      <c r="H88" s="13"/>
      <c r="I88" s="13"/>
      <c r="J88" s="13"/>
      <c r="K88" s="4"/>
      <c r="L88" s="4"/>
      <c r="M88" s="27"/>
      <c r="N88" s="27"/>
    </row>
    <row r="89" spans="1:14" ht="113.25" customHeight="1">
      <c r="A89" s="13"/>
      <c r="B89" s="13"/>
      <c r="C89" s="24"/>
      <c r="D89" s="24"/>
      <c r="E89" s="25"/>
      <c r="F89" s="26"/>
      <c r="G89" s="26"/>
      <c r="H89" s="13"/>
      <c r="I89" s="13"/>
      <c r="J89" s="13"/>
      <c r="K89" s="4"/>
      <c r="L89" s="4"/>
      <c r="M89" s="27"/>
      <c r="N89" s="27"/>
    </row>
    <row r="90" spans="1:14" ht="113.25" customHeight="1">
      <c r="A90" s="13"/>
      <c r="B90" s="13"/>
      <c r="C90" s="24"/>
      <c r="D90" s="24"/>
      <c r="E90" s="25"/>
      <c r="F90" s="26"/>
      <c r="G90" s="26"/>
      <c r="H90" s="13"/>
      <c r="I90" s="13"/>
      <c r="J90" s="13"/>
      <c r="K90" s="4"/>
      <c r="L90" s="4"/>
      <c r="M90" s="27"/>
      <c r="N90" s="27"/>
    </row>
    <row r="91" spans="1:14" ht="113.25" customHeight="1">
      <c r="A91" s="13"/>
      <c r="B91" s="13"/>
      <c r="C91" s="24"/>
      <c r="D91" s="24"/>
      <c r="E91" s="25"/>
      <c r="F91" s="26"/>
      <c r="G91" s="26"/>
      <c r="H91" s="13"/>
      <c r="I91" s="13"/>
      <c r="J91" s="13"/>
      <c r="K91" s="4"/>
      <c r="L91" s="4"/>
      <c r="M91" s="27"/>
      <c r="N91" s="27"/>
    </row>
    <row r="92" spans="1:14" ht="113.25" customHeight="1">
      <c r="A92" s="13"/>
      <c r="B92" s="13"/>
      <c r="C92" s="24"/>
      <c r="D92" s="24"/>
      <c r="E92" s="25"/>
      <c r="F92" s="26"/>
      <c r="G92" s="26"/>
      <c r="H92" s="13"/>
      <c r="I92" s="13"/>
      <c r="J92" s="13"/>
      <c r="K92" s="4"/>
      <c r="L92" s="4"/>
      <c r="M92" s="27"/>
      <c r="N92" s="27"/>
    </row>
    <row r="93" spans="1:14" ht="113.25" customHeight="1">
      <c r="A93" s="13"/>
      <c r="B93" s="13"/>
      <c r="C93" s="24"/>
      <c r="D93" s="24"/>
      <c r="E93" s="25"/>
      <c r="F93" s="26"/>
      <c r="G93" s="26"/>
      <c r="H93" s="13"/>
      <c r="I93" s="13"/>
      <c r="J93" s="13"/>
      <c r="K93" s="4"/>
      <c r="L93" s="4"/>
      <c r="M93" s="27"/>
      <c r="N93" s="27"/>
    </row>
    <row r="94" spans="1:14" ht="14.25" customHeight="1">
      <c r="A94" s="13"/>
      <c r="B94" s="13"/>
      <c r="C94" s="24"/>
      <c r="D94" s="24"/>
      <c r="E94" s="25"/>
      <c r="F94" s="26"/>
      <c r="G94" s="26"/>
      <c r="H94" s="13"/>
      <c r="I94" s="13"/>
      <c r="J94" s="13"/>
      <c r="K94" s="4"/>
      <c r="L94" s="4"/>
      <c r="M94" s="27"/>
      <c r="N94" s="27"/>
    </row>
    <row r="95" spans="1:14" ht="14.25" customHeight="1">
      <c r="A95" s="13"/>
      <c r="B95" s="13"/>
      <c r="C95" s="24"/>
      <c r="D95" s="24"/>
      <c r="E95" s="25"/>
      <c r="F95" s="26"/>
      <c r="G95" s="26"/>
      <c r="H95" s="13"/>
      <c r="I95" s="13"/>
      <c r="J95" s="13"/>
      <c r="K95" s="4"/>
      <c r="L95" s="4"/>
      <c r="M95" s="27"/>
      <c r="N95" s="27"/>
    </row>
    <row r="96" spans="1:14" ht="14.25" customHeight="1">
      <c r="A96" s="13"/>
      <c r="B96" s="13"/>
      <c r="C96" s="24"/>
      <c r="D96" s="24"/>
      <c r="E96" s="25"/>
      <c r="F96" s="26"/>
      <c r="G96" s="26"/>
      <c r="H96" s="13"/>
      <c r="I96" s="13"/>
      <c r="J96" s="13"/>
      <c r="K96" s="4"/>
      <c r="L96" s="4"/>
      <c r="M96" s="27"/>
      <c r="N96" s="27"/>
    </row>
    <row r="97" spans="1:14" ht="14.25" customHeight="1">
      <c r="A97" s="13"/>
      <c r="B97" s="13"/>
      <c r="C97" s="24"/>
      <c r="D97" s="24"/>
      <c r="E97" s="25"/>
      <c r="F97" s="26"/>
      <c r="G97" s="26"/>
      <c r="H97" s="13"/>
      <c r="I97" s="13"/>
      <c r="J97" s="13"/>
      <c r="K97" s="4"/>
      <c r="L97" s="4"/>
      <c r="M97" s="27"/>
      <c r="N97" s="27"/>
    </row>
    <row r="98" spans="1:14" ht="14.25" customHeight="1">
      <c r="A98" s="13"/>
      <c r="B98" s="13"/>
      <c r="C98" s="24"/>
      <c r="D98" s="24"/>
      <c r="E98" s="25"/>
      <c r="F98" s="26"/>
      <c r="G98" s="26"/>
      <c r="H98" s="13"/>
      <c r="I98" s="13"/>
      <c r="J98" s="13"/>
      <c r="K98" s="4"/>
      <c r="L98" s="4"/>
      <c r="M98" s="27"/>
      <c r="N98" s="27"/>
    </row>
    <row r="99" spans="1:14" ht="14.25" customHeight="1">
      <c r="A99" s="13"/>
      <c r="B99" s="13"/>
      <c r="C99" s="24"/>
      <c r="D99" s="24"/>
      <c r="E99" s="25"/>
      <c r="F99" s="26"/>
      <c r="G99" s="26"/>
      <c r="H99" s="13"/>
      <c r="I99" s="13"/>
      <c r="J99" s="13"/>
      <c r="K99" s="4"/>
      <c r="L99" s="4"/>
      <c r="M99" s="27"/>
      <c r="N99" s="27"/>
    </row>
    <row r="100" spans="1:14" ht="14.25" customHeight="1">
      <c r="A100" s="13"/>
      <c r="B100" s="13"/>
      <c r="C100" s="24"/>
      <c r="D100" s="24"/>
      <c r="E100" s="25"/>
      <c r="F100" s="26"/>
      <c r="G100" s="26"/>
      <c r="H100" s="13"/>
      <c r="I100" s="13"/>
      <c r="J100" s="13"/>
      <c r="K100" s="4"/>
      <c r="L100" s="4"/>
      <c r="M100" s="27"/>
      <c r="N100" s="27"/>
    </row>
    <row r="101" spans="1:14" ht="14.25" customHeight="1">
      <c r="A101" s="13"/>
      <c r="B101" s="13"/>
      <c r="C101" s="24"/>
      <c r="D101" s="24"/>
      <c r="E101" s="25"/>
      <c r="F101" s="26"/>
      <c r="G101" s="26"/>
      <c r="H101" s="13"/>
      <c r="I101" s="13"/>
      <c r="J101" s="13"/>
      <c r="K101" s="4"/>
      <c r="L101" s="4"/>
      <c r="M101" s="27"/>
      <c r="N101" s="27"/>
    </row>
    <row r="102" spans="1:14" ht="14.25" customHeight="1">
      <c r="A102" s="13"/>
      <c r="B102" s="13"/>
      <c r="C102" s="24"/>
      <c r="D102" s="24"/>
      <c r="E102" s="25"/>
      <c r="F102" s="26"/>
      <c r="G102" s="26"/>
      <c r="H102" s="13"/>
      <c r="I102" s="13"/>
      <c r="J102" s="13"/>
      <c r="K102" s="4"/>
      <c r="L102" s="4"/>
      <c r="M102" s="27"/>
      <c r="N102" s="27"/>
    </row>
    <row r="103" spans="1:14" ht="14.25" customHeight="1">
      <c r="A103" s="13"/>
      <c r="B103" s="13"/>
      <c r="C103" s="24"/>
      <c r="D103" s="24"/>
      <c r="E103" s="25"/>
      <c r="F103" s="26"/>
      <c r="G103" s="26"/>
      <c r="H103" s="13"/>
      <c r="I103" s="13"/>
      <c r="J103" s="13"/>
      <c r="K103" s="4"/>
      <c r="L103" s="4"/>
      <c r="M103" s="27"/>
      <c r="N103" s="27"/>
    </row>
    <row r="104" spans="1:14" ht="14.25" customHeight="1">
      <c r="A104" s="13"/>
      <c r="B104" s="13"/>
      <c r="C104" s="24"/>
      <c r="D104" s="24"/>
      <c r="E104" s="25"/>
      <c r="F104" s="26"/>
      <c r="G104" s="26"/>
      <c r="H104" s="13"/>
      <c r="I104" s="13"/>
      <c r="J104" s="13"/>
      <c r="K104" s="4"/>
      <c r="L104" s="4"/>
      <c r="M104" s="27"/>
      <c r="N104" s="27"/>
    </row>
    <row r="105" spans="1:14" ht="14.25" customHeight="1">
      <c r="A105" s="13"/>
      <c r="B105" s="13"/>
      <c r="C105" s="24"/>
      <c r="D105" s="24"/>
      <c r="E105" s="25"/>
      <c r="F105" s="26"/>
      <c r="G105" s="26"/>
      <c r="H105" s="13"/>
      <c r="I105" s="13"/>
      <c r="J105" s="13"/>
      <c r="K105" s="4"/>
      <c r="L105" s="4"/>
      <c r="M105" s="27"/>
      <c r="N105" s="27"/>
    </row>
    <row r="106" spans="1:14" ht="14.25" customHeight="1">
      <c r="A106" s="13"/>
      <c r="B106" s="13"/>
      <c r="C106" s="24"/>
      <c r="D106" s="24"/>
      <c r="E106" s="25"/>
      <c r="F106" s="26"/>
      <c r="G106" s="26"/>
      <c r="H106" s="13"/>
      <c r="I106" s="13"/>
      <c r="J106" s="13"/>
      <c r="K106" s="4"/>
      <c r="L106" s="4"/>
      <c r="M106" s="27"/>
      <c r="N106" s="27"/>
    </row>
    <row r="107" spans="1:14" ht="14.25" customHeight="1">
      <c r="A107" s="13"/>
      <c r="B107" s="13"/>
      <c r="C107" s="24"/>
      <c r="D107" s="24"/>
      <c r="E107" s="25"/>
      <c r="F107" s="26"/>
      <c r="G107" s="26"/>
      <c r="H107" s="13"/>
      <c r="I107" s="13"/>
      <c r="J107" s="13"/>
      <c r="K107" s="4"/>
      <c r="L107" s="4"/>
      <c r="M107" s="27"/>
      <c r="N107" s="27"/>
    </row>
    <row r="108" spans="1:14" ht="14.25" customHeight="1">
      <c r="A108" s="13"/>
      <c r="B108" s="13"/>
      <c r="C108" s="24"/>
      <c r="D108" s="24"/>
      <c r="E108" s="25"/>
      <c r="F108" s="26"/>
      <c r="G108" s="26"/>
      <c r="H108" s="13"/>
      <c r="I108" s="13"/>
      <c r="J108" s="13"/>
      <c r="K108" s="4"/>
      <c r="L108" s="4"/>
      <c r="M108" s="27"/>
      <c r="N108" s="27"/>
    </row>
    <row r="109" spans="1:14" ht="14.25" customHeight="1">
      <c r="A109" s="13"/>
      <c r="B109" s="13"/>
      <c r="C109" s="24"/>
      <c r="D109" s="24"/>
      <c r="E109" s="25"/>
      <c r="F109" s="26"/>
      <c r="G109" s="26"/>
      <c r="H109" s="13"/>
      <c r="I109" s="13"/>
      <c r="J109" s="13"/>
      <c r="K109" s="4"/>
      <c r="L109" s="4"/>
      <c r="M109" s="27"/>
      <c r="N109" s="27"/>
    </row>
    <row r="110" spans="1:14" ht="14.25" customHeight="1">
      <c r="A110" s="13"/>
      <c r="B110" s="13"/>
      <c r="C110" s="24"/>
      <c r="D110" s="24"/>
      <c r="E110" s="25"/>
      <c r="F110" s="26"/>
      <c r="G110" s="26"/>
      <c r="H110" s="13"/>
      <c r="I110" s="13"/>
      <c r="J110" s="13"/>
      <c r="K110" s="4"/>
      <c r="L110" s="4"/>
      <c r="M110" s="27"/>
      <c r="N110" s="27"/>
    </row>
    <row r="111" spans="1:14" ht="14.25" customHeight="1">
      <c r="A111" s="13"/>
      <c r="B111" s="13"/>
      <c r="C111" s="24"/>
      <c r="D111" s="24"/>
      <c r="E111" s="25"/>
      <c r="F111" s="26"/>
      <c r="G111" s="26"/>
      <c r="H111" s="13"/>
      <c r="I111" s="13"/>
      <c r="J111" s="13"/>
      <c r="K111" s="4"/>
      <c r="L111" s="4"/>
      <c r="M111" s="27"/>
      <c r="N111" s="27"/>
    </row>
    <row r="112" spans="1:14" ht="14.25" customHeight="1">
      <c r="A112" s="13"/>
      <c r="B112" s="13"/>
      <c r="C112" s="24"/>
      <c r="D112" s="24"/>
      <c r="E112" s="25"/>
      <c r="F112" s="26"/>
      <c r="G112" s="26"/>
      <c r="H112" s="13"/>
      <c r="I112" s="13"/>
      <c r="J112" s="13"/>
      <c r="K112" s="4"/>
      <c r="L112" s="4"/>
      <c r="M112" s="27"/>
      <c r="N112" s="27"/>
    </row>
    <row r="113" spans="1:14" ht="14.25" customHeight="1">
      <c r="A113" s="13"/>
      <c r="B113" s="13"/>
      <c r="C113" s="24"/>
      <c r="D113" s="24"/>
      <c r="E113" s="25"/>
      <c r="F113" s="26"/>
      <c r="G113" s="26"/>
      <c r="H113" s="13"/>
      <c r="I113" s="13"/>
      <c r="J113" s="13"/>
      <c r="K113" s="4"/>
      <c r="L113" s="4"/>
      <c r="M113" s="27"/>
      <c r="N113" s="27"/>
    </row>
    <row r="114" spans="1:14" ht="14.25" customHeight="1">
      <c r="A114" s="13"/>
      <c r="B114" s="13"/>
      <c r="C114" s="24"/>
      <c r="D114" s="24"/>
      <c r="E114" s="25"/>
      <c r="F114" s="26"/>
      <c r="G114" s="26"/>
      <c r="H114" s="13"/>
      <c r="I114" s="13"/>
      <c r="J114" s="13"/>
      <c r="K114" s="4"/>
      <c r="L114" s="4"/>
      <c r="M114" s="27"/>
      <c r="N114" s="27"/>
    </row>
    <row r="115" spans="1:14" ht="14.25" customHeight="1">
      <c r="A115" s="13"/>
      <c r="B115" s="13"/>
      <c r="C115" s="24"/>
      <c r="D115" s="24"/>
      <c r="E115" s="25"/>
      <c r="F115" s="26"/>
      <c r="G115" s="26"/>
      <c r="H115" s="13"/>
      <c r="I115" s="13"/>
      <c r="J115" s="13"/>
      <c r="K115" s="4"/>
      <c r="L115" s="4"/>
      <c r="M115" s="27"/>
      <c r="N115" s="27"/>
    </row>
    <row r="116" spans="1:14" ht="14.25" customHeight="1">
      <c r="A116" s="13"/>
      <c r="B116" s="13"/>
      <c r="C116" s="24"/>
      <c r="D116" s="24"/>
      <c r="E116" s="25"/>
      <c r="F116" s="26"/>
      <c r="G116" s="26"/>
      <c r="H116" s="13"/>
      <c r="I116" s="13"/>
      <c r="J116" s="13"/>
      <c r="K116" s="4"/>
      <c r="L116" s="4"/>
      <c r="M116" s="27"/>
      <c r="N116" s="27"/>
    </row>
    <row r="117" spans="1:14" ht="14.25" customHeight="1">
      <c r="A117" s="13"/>
      <c r="B117" s="13"/>
      <c r="C117" s="24"/>
      <c r="D117" s="24"/>
      <c r="E117" s="25"/>
      <c r="F117" s="26"/>
      <c r="G117" s="26"/>
      <c r="H117" s="13"/>
      <c r="I117" s="13"/>
      <c r="J117" s="13"/>
      <c r="K117" s="4"/>
      <c r="L117" s="4"/>
      <c r="M117" s="27"/>
      <c r="N117" s="27"/>
    </row>
    <row r="118" spans="1:14" ht="14.25" customHeight="1">
      <c r="A118" s="13"/>
      <c r="B118" s="13"/>
      <c r="C118" s="24"/>
      <c r="D118" s="24"/>
      <c r="E118" s="25"/>
      <c r="F118" s="26"/>
      <c r="G118" s="26"/>
      <c r="H118" s="13"/>
      <c r="I118" s="13"/>
      <c r="J118" s="13"/>
      <c r="K118" s="4"/>
      <c r="L118" s="4"/>
      <c r="M118" s="27"/>
      <c r="N118" s="27"/>
    </row>
    <row r="119" spans="1:14" ht="14.25" customHeight="1">
      <c r="A119" s="13"/>
      <c r="B119" s="13"/>
      <c r="C119" s="24"/>
      <c r="D119" s="24"/>
      <c r="E119" s="25"/>
      <c r="F119" s="26"/>
      <c r="G119" s="26"/>
      <c r="H119" s="13"/>
      <c r="I119" s="13"/>
      <c r="J119" s="13"/>
      <c r="K119" s="4"/>
      <c r="L119" s="4"/>
      <c r="M119" s="27"/>
      <c r="N119" s="27"/>
    </row>
    <row r="120" spans="1:14" ht="14.25" customHeight="1">
      <c r="A120" s="13"/>
      <c r="B120" s="13"/>
      <c r="C120" s="24"/>
      <c r="D120" s="24"/>
      <c r="E120" s="25"/>
      <c r="F120" s="26"/>
      <c r="G120" s="26"/>
      <c r="H120" s="13"/>
      <c r="I120" s="13"/>
      <c r="J120" s="13"/>
      <c r="K120" s="4"/>
      <c r="L120" s="4"/>
      <c r="M120" s="27"/>
      <c r="N120" s="27"/>
    </row>
    <row r="121" spans="1:14" ht="14.25" customHeight="1">
      <c r="A121" s="13"/>
      <c r="B121" s="13"/>
      <c r="C121" s="24"/>
      <c r="D121" s="24"/>
      <c r="E121" s="25"/>
      <c r="F121" s="26"/>
      <c r="G121" s="26"/>
      <c r="H121" s="13"/>
      <c r="I121" s="13"/>
      <c r="J121" s="13"/>
      <c r="K121" s="4"/>
      <c r="L121" s="4"/>
      <c r="M121" s="27"/>
      <c r="N121" s="27"/>
    </row>
    <row r="122" spans="1:14" ht="14.25" customHeight="1">
      <c r="A122" s="13"/>
      <c r="B122" s="13"/>
      <c r="C122" s="24"/>
      <c r="D122" s="24"/>
      <c r="E122" s="25"/>
      <c r="F122" s="26"/>
      <c r="G122" s="26"/>
      <c r="H122" s="13"/>
      <c r="I122" s="13"/>
      <c r="J122" s="13"/>
      <c r="K122" s="4"/>
      <c r="L122" s="4"/>
      <c r="M122" s="27"/>
      <c r="N122" s="27"/>
    </row>
    <row r="123" spans="1:14" ht="14.25" customHeight="1">
      <c r="A123" s="13"/>
      <c r="B123" s="13"/>
      <c r="C123" s="24"/>
      <c r="D123" s="24"/>
      <c r="E123" s="25"/>
      <c r="F123" s="26"/>
      <c r="G123" s="26"/>
      <c r="H123" s="13"/>
      <c r="I123" s="13"/>
      <c r="J123" s="13"/>
      <c r="K123" s="4"/>
      <c r="L123" s="4"/>
      <c r="M123" s="27"/>
      <c r="N123" s="27"/>
    </row>
    <row r="124" spans="1:14" ht="14.25" customHeight="1">
      <c r="A124" s="13"/>
      <c r="B124" s="13"/>
      <c r="C124" s="24"/>
      <c r="D124" s="24"/>
      <c r="E124" s="25"/>
      <c r="F124" s="26"/>
      <c r="G124" s="26"/>
      <c r="H124" s="13"/>
      <c r="I124" s="13"/>
      <c r="J124" s="13"/>
      <c r="K124" s="4"/>
      <c r="L124" s="4"/>
      <c r="M124" s="27"/>
      <c r="N124" s="27"/>
    </row>
    <row r="125" spans="1:14" ht="14.25" customHeight="1">
      <c r="A125" s="13"/>
      <c r="B125" s="13"/>
      <c r="C125" s="24"/>
      <c r="D125" s="24"/>
      <c r="E125" s="25"/>
      <c r="F125" s="26"/>
      <c r="G125" s="26"/>
      <c r="H125" s="13"/>
      <c r="I125" s="13"/>
      <c r="J125" s="13"/>
      <c r="K125" s="4"/>
      <c r="L125" s="4"/>
      <c r="M125" s="27"/>
      <c r="N125" s="27"/>
    </row>
    <row r="126" spans="1:14" ht="14.25" customHeight="1">
      <c r="A126" s="13"/>
      <c r="B126" s="13"/>
      <c r="C126" s="24"/>
      <c r="D126" s="24"/>
      <c r="E126" s="25"/>
      <c r="F126" s="26"/>
      <c r="G126" s="26"/>
      <c r="H126" s="13"/>
      <c r="I126" s="13"/>
      <c r="J126" s="13"/>
      <c r="K126" s="4"/>
      <c r="L126" s="4"/>
      <c r="M126" s="27"/>
      <c r="N126" s="27"/>
    </row>
    <row r="127" spans="1:14" ht="14.25" customHeight="1">
      <c r="A127" s="13"/>
      <c r="B127" s="13"/>
      <c r="C127" s="24"/>
      <c r="D127" s="24"/>
      <c r="E127" s="25"/>
      <c r="F127" s="26"/>
      <c r="G127" s="26"/>
      <c r="H127" s="13"/>
      <c r="I127" s="13"/>
      <c r="J127" s="13"/>
      <c r="K127" s="4"/>
      <c r="L127" s="4"/>
      <c r="M127" s="27"/>
      <c r="N127" s="27"/>
    </row>
    <row r="128" spans="1:14" ht="14.25" customHeight="1">
      <c r="A128" s="13"/>
      <c r="B128" s="13"/>
      <c r="C128" s="24"/>
      <c r="D128" s="24"/>
      <c r="E128" s="25"/>
      <c r="F128" s="26"/>
      <c r="G128" s="26"/>
      <c r="H128" s="13"/>
      <c r="I128" s="13"/>
      <c r="J128" s="13"/>
      <c r="K128" s="4"/>
      <c r="L128" s="4"/>
      <c r="M128" s="27"/>
      <c r="N128" s="27"/>
    </row>
    <row r="129" spans="1:14" ht="14.25" customHeight="1">
      <c r="A129" s="13"/>
      <c r="B129" s="13"/>
      <c r="C129" s="24"/>
      <c r="D129" s="24"/>
      <c r="E129" s="25"/>
      <c r="F129" s="26"/>
      <c r="G129" s="26"/>
      <c r="H129" s="13"/>
      <c r="I129" s="13"/>
      <c r="J129" s="13"/>
      <c r="K129" s="4"/>
      <c r="L129" s="4"/>
      <c r="M129" s="27"/>
      <c r="N129" s="27"/>
    </row>
    <row r="130" spans="1:14" ht="14.25" customHeight="1">
      <c r="A130" s="13"/>
      <c r="B130" s="13"/>
      <c r="C130" s="24"/>
      <c r="D130" s="24"/>
      <c r="E130" s="25"/>
      <c r="F130" s="26"/>
      <c r="G130" s="26"/>
      <c r="H130" s="13"/>
      <c r="I130" s="13"/>
      <c r="J130" s="13"/>
      <c r="K130" s="4"/>
      <c r="L130" s="4"/>
      <c r="M130" s="27"/>
      <c r="N130" s="27"/>
    </row>
    <row r="131" spans="1:14" ht="14.25" customHeight="1">
      <c r="A131" s="13"/>
      <c r="B131" s="13"/>
      <c r="C131" s="24"/>
      <c r="D131" s="24"/>
      <c r="E131" s="25"/>
      <c r="F131" s="26"/>
      <c r="G131" s="26"/>
      <c r="H131" s="13"/>
      <c r="I131" s="13"/>
      <c r="J131" s="13"/>
      <c r="K131" s="4"/>
      <c r="L131" s="4"/>
      <c r="M131" s="27"/>
      <c r="N131" s="27"/>
    </row>
    <row r="132" spans="1:14" ht="14.25" customHeight="1">
      <c r="A132" s="13"/>
      <c r="B132" s="13"/>
      <c r="C132" s="24"/>
      <c r="D132" s="24"/>
      <c r="E132" s="25"/>
      <c r="F132" s="26"/>
      <c r="G132" s="26"/>
      <c r="H132" s="13"/>
      <c r="I132" s="13"/>
      <c r="J132" s="13"/>
      <c r="K132" s="4"/>
      <c r="L132" s="4"/>
      <c r="M132" s="27"/>
      <c r="N132" s="27"/>
    </row>
    <row r="133" spans="1:14" ht="14.25" customHeight="1">
      <c r="A133" s="13"/>
      <c r="B133" s="13"/>
      <c r="C133" s="24"/>
      <c r="D133" s="24"/>
      <c r="E133" s="25"/>
      <c r="F133" s="26"/>
      <c r="G133" s="26"/>
      <c r="H133" s="13"/>
      <c r="I133" s="13"/>
      <c r="J133" s="13"/>
      <c r="K133" s="4"/>
      <c r="L133" s="4"/>
      <c r="M133" s="27"/>
      <c r="N133" s="27"/>
    </row>
    <row r="134" spans="1:14" ht="15" customHeight="1">
      <c r="A134" s="30"/>
      <c r="B134" s="31" t="s">
        <v>853</v>
      </c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0"/>
      <c r="N134" s="30"/>
    </row>
    <row r="135" spans="1:14" ht="14.25" customHeight="1">
      <c r="A135" s="30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0"/>
      <c r="N135" s="30"/>
    </row>
    <row r="136" spans="1:14" ht="14.25" customHeight="1">
      <c r="A136" s="30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0"/>
      <c r="N136" s="30"/>
    </row>
    <row r="137" spans="1:14" ht="15" customHeight="1">
      <c r="A137" s="33" t="s">
        <v>854</v>
      </c>
      <c r="B137" s="18"/>
      <c r="C137" s="18"/>
      <c r="D137" s="34"/>
      <c r="E137" s="33" t="s">
        <v>855</v>
      </c>
      <c r="F137" s="18"/>
      <c r="G137" s="18"/>
      <c r="H137" s="35"/>
      <c r="I137" s="35"/>
      <c r="J137" s="35"/>
      <c r="K137" s="33" t="s">
        <v>856</v>
      </c>
      <c r="L137" s="35"/>
      <c r="M137" s="18"/>
      <c r="N137" s="36"/>
    </row>
    <row r="138" spans="1:14" ht="15" customHeight="1">
      <c r="A138" s="35" t="s">
        <v>857</v>
      </c>
      <c r="B138" s="18"/>
      <c r="C138" s="34"/>
      <c r="D138" s="34"/>
      <c r="E138" s="34"/>
      <c r="F138" s="18"/>
      <c r="G138" s="18"/>
      <c r="H138" s="35"/>
      <c r="I138" s="35"/>
      <c r="J138" s="35"/>
      <c r="K138" s="34"/>
      <c r="L138" s="35"/>
      <c r="M138" s="18"/>
      <c r="N138" s="36"/>
    </row>
    <row r="139" spans="1:14" ht="15" customHeight="1">
      <c r="A139" s="35" t="s">
        <v>858</v>
      </c>
      <c r="B139" s="18"/>
      <c r="C139" s="34"/>
      <c r="D139" s="34"/>
      <c r="E139" s="34"/>
      <c r="F139" s="18"/>
      <c r="G139" s="18"/>
      <c r="H139" s="35"/>
      <c r="I139" s="35"/>
      <c r="J139" s="35"/>
      <c r="K139" s="34"/>
      <c r="L139" s="35"/>
      <c r="M139" s="18"/>
      <c r="N139" s="36"/>
    </row>
    <row r="140" spans="1:14" ht="15" customHeight="1">
      <c r="A140" s="35"/>
      <c r="B140" s="18"/>
      <c r="C140" s="34"/>
      <c r="D140" s="34"/>
      <c r="E140" s="34"/>
      <c r="F140" s="18"/>
      <c r="G140" s="18"/>
      <c r="H140" s="35"/>
      <c r="I140" s="35"/>
      <c r="J140" s="35"/>
      <c r="K140" s="34"/>
      <c r="L140" s="35"/>
      <c r="M140" s="18"/>
      <c r="N140" s="36"/>
    </row>
    <row r="141" spans="1:14" ht="15" customHeight="1">
      <c r="A141" s="35"/>
      <c r="B141" s="18"/>
      <c r="C141" s="34"/>
      <c r="D141" s="34"/>
      <c r="E141" s="34"/>
      <c r="F141" s="18"/>
      <c r="G141" s="18"/>
      <c r="H141" s="35"/>
      <c r="I141" s="35"/>
      <c r="J141" s="35"/>
      <c r="K141" s="34"/>
      <c r="L141" s="35"/>
      <c r="M141" s="18"/>
      <c r="N141" s="36"/>
    </row>
    <row r="142" spans="1:14" ht="15" customHeight="1">
      <c r="A142" s="35"/>
      <c r="B142" s="18"/>
      <c r="C142" s="35"/>
      <c r="D142" s="35"/>
      <c r="E142" s="35"/>
      <c r="F142" s="18"/>
      <c r="G142" s="18"/>
      <c r="H142" s="35"/>
      <c r="I142" s="35"/>
      <c r="J142" s="35"/>
      <c r="K142" s="35"/>
      <c r="L142" s="35"/>
      <c r="M142" s="18"/>
      <c r="N142" s="36"/>
    </row>
    <row r="143" spans="1:14" ht="15" customHeight="1">
      <c r="A143" s="35"/>
      <c r="B143" s="18"/>
      <c r="C143" s="35"/>
      <c r="D143" s="35"/>
      <c r="E143" s="35"/>
      <c r="F143" s="18"/>
      <c r="G143" s="18"/>
      <c r="H143" s="35"/>
      <c r="I143" s="35"/>
      <c r="J143" s="35"/>
      <c r="K143" s="35"/>
      <c r="L143" s="35"/>
      <c r="M143" s="18"/>
      <c r="N143" s="36"/>
    </row>
    <row r="144" spans="1:14" ht="15" customHeight="1">
      <c r="A144" s="35" t="s">
        <v>859</v>
      </c>
      <c r="B144" s="18"/>
      <c r="C144" s="18"/>
      <c r="D144" s="18"/>
      <c r="E144" s="35" t="s">
        <v>859</v>
      </c>
      <c r="F144" s="18"/>
      <c r="G144" s="18"/>
      <c r="H144" s="35"/>
      <c r="I144" s="35"/>
      <c r="J144" s="35"/>
      <c r="K144" s="35" t="s">
        <v>859</v>
      </c>
      <c r="L144" s="35"/>
      <c r="M144" s="18"/>
      <c r="N144" s="36"/>
    </row>
    <row r="145" spans="1:14" ht="15" customHeight="1">
      <c r="A145" s="35" t="s">
        <v>860</v>
      </c>
      <c r="B145" s="18"/>
      <c r="C145" s="18"/>
      <c r="D145" s="18"/>
      <c r="E145" s="35" t="s">
        <v>860</v>
      </c>
      <c r="F145" s="18"/>
      <c r="G145" s="18"/>
      <c r="H145" s="35"/>
      <c r="I145" s="35"/>
      <c r="J145" s="35"/>
      <c r="K145" s="37" t="s">
        <v>860</v>
      </c>
      <c r="L145" s="35"/>
      <c r="M145" s="18"/>
      <c r="N145" s="36"/>
    </row>
    <row r="146" spans="1:14" ht="15" customHeight="1">
      <c r="A146" s="35" t="s">
        <v>861</v>
      </c>
      <c r="B146" s="18"/>
      <c r="C146" s="18"/>
      <c r="D146" s="18"/>
      <c r="E146" s="35" t="s">
        <v>861</v>
      </c>
      <c r="F146" s="18"/>
      <c r="G146" s="18"/>
      <c r="H146" s="35"/>
      <c r="I146" s="35"/>
      <c r="J146" s="35"/>
      <c r="K146" s="37" t="s">
        <v>861</v>
      </c>
      <c r="L146" s="35"/>
      <c r="M146" s="18"/>
      <c r="N146" s="36"/>
    </row>
    <row r="147" spans="1:14" ht="15" customHeight="1">
      <c r="A147" s="35" t="s">
        <v>862</v>
      </c>
      <c r="B147" s="18"/>
      <c r="C147" s="18"/>
      <c r="D147" s="18"/>
      <c r="E147" s="35" t="s">
        <v>862</v>
      </c>
      <c r="F147" s="18"/>
      <c r="G147" s="18"/>
      <c r="H147" s="35"/>
      <c r="I147" s="35"/>
      <c r="J147" s="35"/>
      <c r="K147" s="35" t="s">
        <v>862</v>
      </c>
      <c r="L147" s="35"/>
      <c r="M147" s="18"/>
      <c r="N147" s="36"/>
    </row>
    <row r="148" spans="1:14" ht="15" customHeight="1">
      <c r="A148" s="18" t="s">
        <v>863</v>
      </c>
      <c r="B148" s="18"/>
      <c r="C148" s="18"/>
      <c r="D148" s="18"/>
      <c r="E148" s="18" t="s">
        <v>863</v>
      </c>
      <c r="F148" s="18"/>
      <c r="G148" s="18"/>
      <c r="H148" s="18"/>
      <c r="I148" s="18"/>
      <c r="J148" s="18"/>
      <c r="K148" s="18" t="s">
        <v>863</v>
      </c>
      <c r="L148" s="18"/>
      <c r="M148" s="18"/>
      <c r="N148" s="18"/>
    </row>
    <row r="167" spans="14:14" ht="14.25" customHeight="1">
      <c r="N167" t="s">
        <v>864</v>
      </c>
    </row>
  </sheetData>
  <autoFilter ref="A6:N6" xr:uid="{00000000-0009-0000-0000-000001000000}"/>
  <mergeCells count="8">
    <mergeCell ref="A1:N1"/>
    <mergeCell ref="A4:B4"/>
    <mergeCell ref="K5:M5"/>
    <mergeCell ref="A2:N2"/>
    <mergeCell ref="F5:G5"/>
    <mergeCell ref="C3:N3"/>
    <mergeCell ref="A3:B3"/>
    <mergeCell ref="C4:N4"/>
  </mergeCells>
  <pageMargins left="0.23611111111111099" right="0.23611111111111099" top="0.99652777777777801" bottom="0.7479166666666670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tabColor rgb="FFE46D0A"/>
    <pageSetUpPr fitToPage="1"/>
  </sheetPr>
  <dimension ref="B3:H945"/>
  <sheetViews>
    <sheetView topLeftCell="A248" zoomScale="105" zoomScaleNormal="100" workbookViewId="0">
      <selection activeCell="H374" sqref="H374"/>
    </sheetView>
  </sheetViews>
  <sheetFormatPr baseColWidth="10" defaultColWidth="8" defaultRowHeight="14.4"/>
  <cols>
    <col min="2" max="2" width="22.6640625" style="6" customWidth="1"/>
    <col min="3" max="3" width="8.44140625" customWidth="1"/>
    <col min="4" max="4" width="15.109375" customWidth="1"/>
    <col min="5" max="5" width="16.5546875" customWidth="1"/>
    <col min="6" max="6" width="7" customWidth="1"/>
    <col min="7" max="7" width="14.33203125" customWidth="1"/>
    <col min="8" max="8" width="14.109375" customWidth="1"/>
    <col min="9" max="9" width="10.5546875" customWidth="1"/>
    <col min="10" max="10" width="9.44140625" customWidth="1"/>
    <col min="11" max="12" width="11.5546875" customWidth="1"/>
    <col min="14" max="15" width="11.5546875" customWidth="1"/>
  </cols>
  <sheetData>
    <row r="3" spans="2:8" ht="61.2" customHeight="1">
      <c r="B3" s="7"/>
      <c r="C3" s="282" t="s">
        <v>0</v>
      </c>
      <c r="D3" s="269"/>
      <c r="E3" s="269"/>
      <c r="F3" s="269"/>
      <c r="G3" s="269"/>
      <c r="H3" s="262"/>
    </row>
    <row r="4" spans="2:8" ht="31.8" customHeight="1">
      <c r="B4" s="8"/>
      <c r="C4" s="277" t="s">
        <v>1</v>
      </c>
      <c r="D4" s="253"/>
      <c r="E4" s="253"/>
      <c r="F4" s="253"/>
      <c r="G4" s="253"/>
      <c r="H4" s="254"/>
    </row>
    <row r="5" spans="2:8" ht="18.75" customHeight="1">
      <c r="B5" s="9" t="s">
        <v>2</v>
      </c>
      <c r="C5" s="285" t="s">
        <v>3</v>
      </c>
      <c r="D5" s="265"/>
      <c r="E5" s="265"/>
      <c r="F5" s="265"/>
      <c r="G5" s="265"/>
      <c r="H5" s="276"/>
    </row>
    <row r="6" spans="2:8" ht="32.25" customHeight="1">
      <c r="B6" s="1" t="s">
        <v>4</v>
      </c>
      <c r="C6" s="271" t="s">
        <v>5</v>
      </c>
      <c r="D6" s="253"/>
      <c r="E6" s="253"/>
      <c r="F6" s="253"/>
      <c r="G6" s="253"/>
      <c r="H6" s="254"/>
    </row>
    <row r="7" spans="2:8" ht="32.4" customHeight="1">
      <c r="B7" s="1" t="s">
        <v>6</v>
      </c>
      <c r="C7" s="278" t="s">
        <v>7</v>
      </c>
      <c r="D7" s="254"/>
      <c r="E7" s="11" t="s">
        <v>8</v>
      </c>
      <c r="F7" s="271" t="s">
        <v>9</v>
      </c>
      <c r="G7" s="253"/>
      <c r="H7" s="254"/>
    </row>
    <row r="8" spans="2:8" ht="88.95" customHeight="1">
      <c r="B8" s="1" t="s">
        <v>10</v>
      </c>
      <c r="C8" s="278" t="s">
        <v>11</v>
      </c>
      <c r="D8" s="253"/>
      <c r="E8" s="253"/>
      <c r="F8" s="253"/>
      <c r="G8" s="253"/>
      <c r="H8" s="254"/>
    </row>
    <row r="9" spans="2:8" ht="28.2" customHeight="1">
      <c r="B9" s="1" t="s">
        <v>12</v>
      </c>
      <c r="C9" s="272" t="s">
        <v>13</v>
      </c>
      <c r="D9" s="253"/>
      <c r="E9" s="253"/>
      <c r="F9" s="253"/>
      <c r="G9" s="253"/>
      <c r="H9" s="254"/>
    </row>
    <row r="10" spans="2:8" ht="25.2" customHeight="1">
      <c r="B10" s="1" t="s">
        <v>14</v>
      </c>
      <c r="C10" s="284">
        <v>45997</v>
      </c>
      <c r="D10" s="254"/>
      <c r="E10" s="3" t="s">
        <v>15</v>
      </c>
      <c r="F10" s="284">
        <v>46007</v>
      </c>
      <c r="G10" s="253"/>
      <c r="H10" s="254"/>
    </row>
    <row r="11" spans="2:8" ht="22.5" customHeight="1">
      <c r="B11" s="279" t="s">
        <v>16</v>
      </c>
      <c r="C11" s="272" t="s">
        <v>17</v>
      </c>
      <c r="D11" s="262"/>
      <c r="E11" s="272" t="s">
        <v>18</v>
      </c>
      <c r="F11" s="262"/>
      <c r="G11" s="3" t="s">
        <v>19</v>
      </c>
      <c r="H11" s="3"/>
    </row>
    <row r="12" spans="2:8" ht="17.25" customHeight="1">
      <c r="B12" s="280"/>
      <c r="C12" s="273"/>
      <c r="D12" s="274"/>
      <c r="E12" s="273"/>
      <c r="F12" s="274"/>
      <c r="G12" s="3" t="s">
        <v>20</v>
      </c>
      <c r="H12" s="3" t="s">
        <v>21</v>
      </c>
    </row>
    <row r="13" spans="2:8" ht="17.25" customHeight="1">
      <c r="B13" s="281"/>
      <c r="C13" s="275"/>
      <c r="D13" s="276"/>
      <c r="E13" s="275"/>
      <c r="F13" s="276"/>
      <c r="G13" s="3" t="s">
        <v>22</v>
      </c>
      <c r="H13" s="3"/>
    </row>
    <row r="14" spans="2:8" ht="25.8" customHeight="1">
      <c r="B14" s="279" t="s">
        <v>23</v>
      </c>
      <c r="C14" s="283" t="s">
        <v>24</v>
      </c>
      <c r="D14" s="272" t="s">
        <v>25</v>
      </c>
      <c r="E14" s="3" t="s">
        <v>26</v>
      </c>
      <c r="F14" s="3"/>
      <c r="G14" s="3" t="s">
        <v>27</v>
      </c>
      <c r="H14" s="3">
        <v>29</v>
      </c>
    </row>
    <row r="15" spans="2:8" ht="27.6" customHeight="1">
      <c r="B15" s="281"/>
      <c r="C15" s="275"/>
      <c r="D15" s="281"/>
      <c r="E15" s="3" t="s">
        <v>28</v>
      </c>
      <c r="F15" s="3" t="s">
        <v>29</v>
      </c>
      <c r="G15" s="3" t="s">
        <v>30</v>
      </c>
      <c r="H15" s="12" t="s">
        <v>31</v>
      </c>
    </row>
    <row r="18" spans="2:8" ht="61.2" customHeight="1">
      <c r="B18" s="7"/>
      <c r="C18" s="282" t="s">
        <v>32</v>
      </c>
      <c r="D18" s="269"/>
      <c r="E18" s="269"/>
      <c r="F18" s="269"/>
      <c r="G18" s="269"/>
      <c r="H18" s="262"/>
    </row>
    <row r="19" spans="2:8" ht="31.8" customHeight="1">
      <c r="B19" s="8"/>
      <c r="C19" s="277" t="s">
        <v>1</v>
      </c>
      <c r="D19" s="253"/>
      <c r="E19" s="253"/>
      <c r="F19" s="253"/>
      <c r="G19" s="253"/>
      <c r="H19" s="254"/>
    </row>
    <row r="20" spans="2:8" ht="18.75" customHeight="1">
      <c r="B20" s="9" t="s">
        <v>2</v>
      </c>
      <c r="C20" s="285" t="s">
        <v>3</v>
      </c>
      <c r="D20" s="265"/>
      <c r="E20" s="265"/>
      <c r="F20" s="265"/>
      <c r="G20" s="265"/>
      <c r="H20" s="276"/>
    </row>
    <row r="21" spans="2:8" ht="32.25" customHeight="1">
      <c r="B21" s="1" t="s">
        <v>4</v>
      </c>
      <c r="C21" s="271" t="s">
        <v>5</v>
      </c>
      <c r="D21" s="253"/>
      <c r="E21" s="253"/>
      <c r="F21" s="253"/>
      <c r="G21" s="253"/>
      <c r="H21" s="254"/>
    </row>
    <row r="22" spans="2:8" ht="32.4" customHeight="1">
      <c r="B22" s="1" t="s">
        <v>6</v>
      </c>
      <c r="C22" s="278" t="s">
        <v>7</v>
      </c>
      <c r="D22" s="254"/>
      <c r="E22" s="11" t="s">
        <v>8</v>
      </c>
      <c r="F22" s="271" t="s">
        <v>9</v>
      </c>
      <c r="G22" s="253"/>
      <c r="H22" s="254"/>
    </row>
    <row r="23" spans="2:8" ht="88.95" customHeight="1">
      <c r="B23" s="1" t="s">
        <v>10</v>
      </c>
      <c r="C23" s="278" t="s">
        <v>33</v>
      </c>
      <c r="D23" s="253"/>
      <c r="E23" s="253"/>
      <c r="F23" s="253"/>
      <c r="G23" s="253"/>
      <c r="H23" s="254"/>
    </row>
    <row r="24" spans="2:8" ht="28.2" customHeight="1">
      <c r="B24" s="1" t="s">
        <v>12</v>
      </c>
      <c r="C24" s="272" t="s">
        <v>34</v>
      </c>
      <c r="D24" s="253"/>
      <c r="E24" s="253"/>
      <c r="F24" s="253"/>
      <c r="G24" s="253"/>
      <c r="H24" s="254"/>
    </row>
    <row r="25" spans="2:8" ht="25.2" customHeight="1">
      <c r="B25" s="1" t="s">
        <v>14</v>
      </c>
      <c r="C25" s="284">
        <v>45998</v>
      </c>
      <c r="D25" s="254"/>
      <c r="E25" s="3" t="s">
        <v>15</v>
      </c>
      <c r="F25" s="284">
        <v>46030</v>
      </c>
      <c r="G25" s="253"/>
      <c r="H25" s="254"/>
    </row>
    <row r="26" spans="2:8" ht="22.5" customHeight="1">
      <c r="B26" s="279" t="s">
        <v>16</v>
      </c>
      <c r="C26" s="272" t="s">
        <v>17</v>
      </c>
      <c r="D26" s="262"/>
      <c r="E26" s="272" t="s">
        <v>18</v>
      </c>
      <c r="F26" s="262"/>
      <c r="G26" s="3" t="s">
        <v>19</v>
      </c>
      <c r="H26" s="3"/>
    </row>
    <row r="27" spans="2:8" ht="17.25" customHeight="1">
      <c r="B27" s="280"/>
      <c r="C27" s="273"/>
      <c r="D27" s="274"/>
      <c r="E27" s="273"/>
      <c r="F27" s="274"/>
      <c r="G27" s="3" t="s">
        <v>20</v>
      </c>
      <c r="H27" s="3" t="s">
        <v>21</v>
      </c>
    </row>
    <row r="28" spans="2:8" ht="17.25" customHeight="1">
      <c r="B28" s="281"/>
      <c r="C28" s="275"/>
      <c r="D28" s="276"/>
      <c r="E28" s="275"/>
      <c r="F28" s="276"/>
      <c r="G28" s="3" t="s">
        <v>22</v>
      </c>
      <c r="H28" s="3"/>
    </row>
    <row r="29" spans="2:8" ht="25.8" customHeight="1">
      <c r="B29" s="279" t="s">
        <v>23</v>
      </c>
      <c r="C29" s="283" t="s">
        <v>24</v>
      </c>
      <c r="D29" s="272" t="s">
        <v>25</v>
      </c>
      <c r="E29" s="3" t="s">
        <v>26</v>
      </c>
      <c r="F29" s="3"/>
      <c r="G29" s="3" t="s">
        <v>27</v>
      </c>
      <c r="H29" s="3">
        <v>18</v>
      </c>
    </row>
    <row r="30" spans="2:8" ht="27.6" customHeight="1">
      <c r="B30" s="281"/>
      <c r="C30" s="275"/>
      <c r="D30" s="281"/>
      <c r="E30" s="3" t="s">
        <v>28</v>
      </c>
      <c r="F30" s="3" t="s">
        <v>29</v>
      </c>
      <c r="G30" s="3" t="s">
        <v>30</v>
      </c>
      <c r="H30" s="12" t="s">
        <v>31</v>
      </c>
    </row>
    <row r="33" spans="2:8" ht="61.2" customHeight="1">
      <c r="B33" s="7"/>
      <c r="C33" s="282" t="s">
        <v>35</v>
      </c>
      <c r="D33" s="269"/>
      <c r="E33" s="269"/>
      <c r="F33" s="269"/>
      <c r="G33" s="269"/>
      <c r="H33" s="262"/>
    </row>
    <row r="34" spans="2:8" ht="31.8" customHeight="1">
      <c r="B34" s="8"/>
      <c r="C34" s="277" t="s">
        <v>1</v>
      </c>
      <c r="D34" s="253"/>
      <c r="E34" s="253"/>
      <c r="F34" s="253"/>
      <c r="G34" s="253"/>
      <c r="H34" s="254"/>
    </row>
    <row r="35" spans="2:8" ht="18.75" customHeight="1">
      <c r="B35" s="9" t="s">
        <v>2</v>
      </c>
      <c r="C35" s="285" t="s">
        <v>3</v>
      </c>
      <c r="D35" s="265"/>
      <c r="E35" s="265"/>
      <c r="F35" s="265"/>
      <c r="G35" s="265"/>
      <c r="H35" s="276"/>
    </row>
    <row r="36" spans="2:8" ht="32.25" customHeight="1">
      <c r="B36" s="1" t="s">
        <v>4</v>
      </c>
      <c r="C36" s="271" t="s">
        <v>5</v>
      </c>
      <c r="D36" s="253"/>
      <c r="E36" s="253"/>
      <c r="F36" s="253"/>
      <c r="G36" s="253"/>
      <c r="H36" s="254"/>
    </row>
    <row r="37" spans="2:8" ht="32.4" customHeight="1">
      <c r="B37" s="1" t="s">
        <v>6</v>
      </c>
      <c r="C37" s="278" t="s">
        <v>7</v>
      </c>
      <c r="D37" s="254"/>
      <c r="E37" s="11" t="s">
        <v>8</v>
      </c>
      <c r="F37" s="271" t="s">
        <v>9</v>
      </c>
      <c r="G37" s="253"/>
      <c r="H37" s="254"/>
    </row>
    <row r="38" spans="2:8" ht="88.95" customHeight="1">
      <c r="B38" s="1" t="s">
        <v>10</v>
      </c>
      <c r="C38" s="278" t="s">
        <v>36</v>
      </c>
      <c r="D38" s="253"/>
      <c r="E38" s="253"/>
      <c r="F38" s="253"/>
      <c r="G38" s="253"/>
      <c r="H38" s="254"/>
    </row>
    <row r="39" spans="2:8" ht="28.2" customHeight="1">
      <c r="B39" s="1" t="s">
        <v>12</v>
      </c>
      <c r="C39" s="272" t="s">
        <v>37</v>
      </c>
      <c r="D39" s="253"/>
      <c r="E39" s="253"/>
      <c r="F39" s="253"/>
      <c r="G39" s="253"/>
      <c r="H39" s="254"/>
    </row>
    <row r="40" spans="2:8" ht="25.2" customHeight="1">
      <c r="B40" s="1" t="s">
        <v>14</v>
      </c>
      <c r="C40" s="284">
        <v>46034</v>
      </c>
      <c r="D40" s="254"/>
      <c r="E40" s="3" t="s">
        <v>15</v>
      </c>
      <c r="F40" s="284">
        <v>46042</v>
      </c>
      <c r="G40" s="253"/>
      <c r="H40" s="254"/>
    </row>
    <row r="41" spans="2:8" ht="22.5" customHeight="1">
      <c r="B41" s="279" t="s">
        <v>16</v>
      </c>
      <c r="C41" s="272" t="s">
        <v>17</v>
      </c>
      <c r="D41" s="262"/>
      <c r="E41" s="272" t="s">
        <v>18</v>
      </c>
      <c r="F41" s="262"/>
      <c r="G41" s="3" t="s">
        <v>19</v>
      </c>
      <c r="H41" s="3"/>
    </row>
    <row r="42" spans="2:8" ht="17.25" customHeight="1">
      <c r="B42" s="280"/>
      <c r="C42" s="273"/>
      <c r="D42" s="274"/>
      <c r="E42" s="273"/>
      <c r="F42" s="274"/>
      <c r="G42" s="3" t="s">
        <v>20</v>
      </c>
      <c r="H42" s="3" t="s">
        <v>21</v>
      </c>
    </row>
    <row r="43" spans="2:8" ht="17.25" customHeight="1">
      <c r="B43" s="281"/>
      <c r="C43" s="275"/>
      <c r="D43" s="276"/>
      <c r="E43" s="275"/>
      <c r="F43" s="276"/>
      <c r="G43" s="3" t="s">
        <v>22</v>
      </c>
      <c r="H43" s="3"/>
    </row>
    <row r="44" spans="2:8" ht="25.8" customHeight="1">
      <c r="B44" s="279" t="s">
        <v>23</v>
      </c>
      <c r="C44" s="283" t="s">
        <v>24</v>
      </c>
      <c r="D44" s="272" t="s">
        <v>25</v>
      </c>
      <c r="E44" s="3" t="s">
        <v>26</v>
      </c>
      <c r="F44" s="3"/>
      <c r="G44" s="3" t="s">
        <v>27</v>
      </c>
      <c r="H44" s="3">
        <v>21</v>
      </c>
    </row>
    <row r="45" spans="2:8" ht="27.6" customHeight="1">
      <c r="B45" s="281"/>
      <c r="C45" s="275"/>
      <c r="D45" s="281"/>
      <c r="E45" s="3" t="s">
        <v>28</v>
      </c>
      <c r="F45" s="3" t="s">
        <v>29</v>
      </c>
      <c r="G45" s="3" t="s">
        <v>30</v>
      </c>
      <c r="H45" s="12" t="s">
        <v>31</v>
      </c>
    </row>
    <row r="48" spans="2:8" ht="61.2" customHeight="1">
      <c r="B48" s="7"/>
      <c r="C48" s="282" t="s">
        <v>35</v>
      </c>
      <c r="D48" s="269"/>
      <c r="E48" s="269"/>
      <c r="F48" s="269"/>
      <c r="G48" s="269"/>
      <c r="H48" s="262"/>
    </row>
    <row r="49" spans="2:8" ht="31.8" customHeight="1">
      <c r="B49" s="8"/>
      <c r="C49" s="277" t="s">
        <v>1</v>
      </c>
      <c r="D49" s="253"/>
      <c r="E49" s="253"/>
      <c r="F49" s="253"/>
      <c r="G49" s="253"/>
      <c r="H49" s="254"/>
    </row>
    <row r="50" spans="2:8" ht="18.75" customHeight="1">
      <c r="B50" s="9" t="s">
        <v>2</v>
      </c>
      <c r="C50" s="285" t="s">
        <v>3</v>
      </c>
      <c r="D50" s="265"/>
      <c r="E50" s="265"/>
      <c r="F50" s="265"/>
      <c r="G50" s="265"/>
      <c r="H50" s="276"/>
    </row>
    <row r="51" spans="2:8" ht="32.25" customHeight="1">
      <c r="B51" s="1" t="s">
        <v>4</v>
      </c>
      <c r="C51" s="271" t="s">
        <v>5</v>
      </c>
      <c r="D51" s="253"/>
      <c r="E51" s="253"/>
      <c r="F51" s="253"/>
      <c r="G51" s="253"/>
      <c r="H51" s="254"/>
    </row>
    <row r="52" spans="2:8" ht="32.4" customHeight="1">
      <c r="B52" s="1" t="s">
        <v>6</v>
      </c>
      <c r="C52" s="278" t="s">
        <v>7</v>
      </c>
      <c r="D52" s="254"/>
      <c r="E52" s="11" t="s">
        <v>8</v>
      </c>
      <c r="F52" s="271" t="s">
        <v>9</v>
      </c>
      <c r="G52" s="253"/>
      <c r="H52" s="254"/>
    </row>
    <row r="53" spans="2:8" ht="88.95" customHeight="1">
      <c r="B53" s="1" t="s">
        <v>10</v>
      </c>
      <c r="C53" s="278" t="s">
        <v>38</v>
      </c>
      <c r="D53" s="253"/>
      <c r="E53" s="253"/>
      <c r="F53" s="253"/>
      <c r="G53" s="253"/>
      <c r="H53" s="254"/>
    </row>
    <row r="54" spans="2:8" ht="28.2" customHeight="1">
      <c r="B54" s="1" t="s">
        <v>12</v>
      </c>
      <c r="C54" s="272" t="s">
        <v>39</v>
      </c>
      <c r="D54" s="253"/>
      <c r="E54" s="253"/>
      <c r="F54" s="253"/>
      <c r="G54" s="253"/>
      <c r="H54" s="254"/>
    </row>
    <row r="55" spans="2:8" ht="25.2" customHeight="1">
      <c r="B55" s="1" t="s">
        <v>14</v>
      </c>
      <c r="C55" s="284">
        <v>46038</v>
      </c>
      <c r="D55" s="254"/>
      <c r="E55" s="3" t="s">
        <v>15</v>
      </c>
      <c r="F55" s="284">
        <v>46042</v>
      </c>
      <c r="G55" s="253"/>
      <c r="H55" s="254"/>
    </row>
    <row r="56" spans="2:8" ht="22.5" customHeight="1">
      <c r="B56" s="279" t="s">
        <v>16</v>
      </c>
      <c r="C56" s="272" t="s">
        <v>17</v>
      </c>
      <c r="D56" s="262"/>
      <c r="E56" s="272" t="s">
        <v>18</v>
      </c>
      <c r="F56" s="262"/>
      <c r="G56" s="3" t="s">
        <v>19</v>
      </c>
      <c r="H56" s="3"/>
    </row>
    <row r="57" spans="2:8" ht="17.25" customHeight="1">
      <c r="B57" s="280"/>
      <c r="C57" s="273"/>
      <c r="D57" s="274"/>
      <c r="E57" s="273"/>
      <c r="F57" s="274"/>
      <c r="G57" s="3" t="s">
        <v>20</v>
      </c>
      <c r="H57" s="3" t="s">
        <v>21</v>
      </c>
    </row>
    <row r="58" spans="2:8" ht="17.25" customHeight="1">
      <c r="B58" s="281"/>
      <c r="C58" s="275"/>
      <c r="D58" s="276"/>
      <c r="E58" s="275"/>
      <c r="F58" s="276"/>
      <c r="G58" s="3" t="s">
        <v>22</v>
      </c>
      <c r="H58" s="3"/>
    </row>
    <row r="59" spans="2:8" ht="25.8" customHeight="1">
      <c r="B59" s="279" t="s">
        <v>23</v>
      </c>
      <c r="C59" s="283" t="s">
        <v>24</v>
      </c>
      <c r="D59" s="272" t="s">
        <v>25</v>
      </c>
      <c r="E59" s="3" t="s">
        <v>26</v>
      </c>
      <c r="F59" s="3"/>
      <c r="G59" s="3" t="s">
        <v>27</v>
      </c>
      <c r="H59" s="3">
        <v>21</v>
      </c>
    </row>
    <row r="60" spans="2:8" ht="27.6" customHeight="1">
      <c r="B60" s="281"/>
      <c r="C60" s="275"/>
      <c r="D60" s="281"/>
      <c r="E60" s="3" t="s">
        <v>28</v>
      </c>
      <c r="F60" s="3" t="s">
        <v>29</v>
      </c>
      <c r="G60" s="3" t="s">
        <v>30</v>
      </c>
      <c r="H60" s="12" t="s">
        <v>31</v>
      </c>
    </row>
    <row r="63" spans="2:8" ht="61.2" customHeight="1">
      <c r="B63" s="7"/>
      <c r="C63" s="282" t="s">
        <v>35</v>
      </c>
      <c r="D63" s="269"/>
      <c r="E63" s="269"/>
      <c r="F63" s="269"/>
      <c r="G63" s="269"/>
      <c r="H63" s="262"/>
    </row>
    <row r="64" spans="2:8" ht="31.8" customHeight="1">
      <c r="B64" s="8"/>
      <c r="C64" s="277" t="s">
        <v>1</v>
      </c>
      <c r="D64" s="253"/>
      <c r="E64" s="253"/>
      <c r="F64" s="253"/>
      <c r="G64" s="253"/>
      <c r="H64" s="254"/>
    </row>
    <row r="65" spans="2:8" ht="18.75" customHeight="1">
      <c r="B65" s="9" t="s">
        <v>2</v>
      </c>
      <c r="C65" s="285" t="s">
        <v>3</v>
      </c>
      <c r="D65" s="265"/>
      <c r="E65" s="265"/>
      <c r="F65" s="265"/>
      <c r="G65" s="265"/>
      <c r="H65" s="276"/>
    </row>
    <row r="66" spans="2:8" ht="32.25" customHeight="1">
      <c r="B66" s="1" t="s">
        <v>4</v>
      </c>
      <c r="C66" s="271" t="s">
        <v>5</v>
      </c>
      <c r="D66" s="253"/>
      <c r="E66" s="253"/>
      <c r="F66" s="253"/>
      <c r="G66" s="253"/>
      <c r="H66" s="254"/>
    </row>
    <row r="67" spans="2:8" ht="32.4" customHeight="1">
      <c r="B67" s="1" t="s">
        <v>6</v>
      </c>
      <c r="C67" s="278" t="s">
        <v>7</v>
      </c>
      <c r="D67" s="254"/>
      <c r="E67" s="11" t="s">
        <v>8</v>
      </c>
      <c r="F67" s="271" t="s">
        <v>9</v>
      </c>
      <c r="G67" s="253"/>
      <c r="H67" s="254"/>
    </row>
    <row r="68" spans="2:8" ht="88.95" customHeight="1">
      <c r="B68" s="1" t="s">
        <v>10</v>
      </c>
      <c r="C68" s="278" t="s">
        <v>40</v>
      </c>
      <c r="D68" s="253"/>
      <c r="E68" s="253"/>
      <c r="F68" s="253"/>
      <c r="G68" s="253"/>
      <c r="H68" s="254"/>
    </row>
    <row r="69" spans="2:8" ht="28.2" customHeight="1">
      <c r="B69" s="1" t="s">
        <v>12</v>
      </c>
      <c r="C69" s="272" t="s">
        <v>41</v>
      </c>
      <c r="D69" s="253"/>
      <c r="E69" s="253"/>
      <c r="F69" s="253"/>
      <c r="G69" s="253"/>
      <c r="H69" s="254"/>
    </row>
    <row r="70" spans="2:8" ht="25.2" customHeight="1">
      <c r="B70" s="1" t="s">
        <v>14</v>
      </c>
      <c r="C70" s="284">
        <v>46046</v>
      </c>
      <c r="D70" s="254"/>
      <c r="E70" s="3" t="s">
        <v>15</v>
      </c>
      <c r="F70" s="284">
        <v>46058</v>
      </c>
      <c r="G70" s="253"/>
      <c r="H70" s="254"/>
    </row>
    <row r="71" spans="2:8" ht="22.5" customHeight="1">
      <c r="B71" s="279" t="s">
        <v>16</v>
      </c>
      <c r="C71" s="272" t="s">
        <v>17</v>
      </c>
      <c r="D71" s="262"/>
      <c r="E71" s="272" t="s">
        <v>18</v>
      </c>
      <c r="F71" s="262"/>
      <c r="G71" s="3" t="s">
        <v>19</v>
      </c>
      <c r="H71" s="3"/>
    </row>
    <row r="72" spans="2:8" ht="17.25" customHeight="1">
      <c r="B72" s="280"/>
      <c r="C72" s="273"/>
      <c r="D72" s="274"/>
      <c r="E72" s="273"/>
      <c r="F72" s="274"/>
      <c r="G72" s="3" t="s">
        <v>20</v>
      </c>
      <c r="H72" s="3" t="s">
        <v>21</v>
      </c>
    </row>
    <row r="73" spans="2:8" ht="17.25" customHeight="1">
      <c r="B73" s="281"/>
      <c r="C73" s="275"/>
      <c r="D73" s="276"/>
      <c r="E73" s="275"/>
      <c r="F73" s="276"/>
      <c r="G73" s="3" t="s">
        <v>22</v>
      </c>
      <c r="H73" s="3"/>
    </row>
    <row r="74" spans="2:8" ht="25.8" customHeight="1">
      <c r="B74" s="279" t="s">
        <v>23</v>
      </c>
      <c r="C74" s="283" t="s">
        <v>24</v>
      </c>
      <c r="D74" s="272" t="s">
        <v>25</v>
      </c>
      <c r="E74" s="3" t="s">
        <v>26</v>
      </c>
      <c r="F74" s="3"/>
      <c r="G74" s="3" t="s">
        <v>27</v>
      </c>
      <c r="H74" s="3">
        <v>17</v>
      </c>
    </row>
    <row r="75" spans="2:8" ht="27.6" customHeight="1">
      <c r="B75" s="281"/>
      <c r="C75" s="275"/>
      <c r="D75" s="281"/>
      <c r="E75" s="3" t="s">
        <v>28</v>
      </c>
      <c r="F75" s="3" t="s">
        <v>29</v>
      </c>
      <c r="G75" s="3" t="s">
        <v>30</v>
      </c>
      <c r="H75" s="12" t="s">
        <v>31</v>
      </c>
    </row>
    <row r="78" spans="2:8" ht="61.2" customHeight="1">
      <c r="B78" s="7"/>
      <c r="C78" s="282" t="s">
        <v>35</v>
      </c>
      <c r="D78" s="269"/>
      <c r="E78" s="269"/>
      <c r="F78" s="269"/>
      <c r="G78" s="269"/>
      <c r="H78" s="262"/>
    </row>
    <row r="79" spans="2:8" ht="31.8" customHeight="1">
      <c r="B79" s="8"/>
      <c r="C79" s="277" t="s">
        <v>1</v>
      </c>
      <c r="D79" s="253"/>
      <c r="E79" s="253"/>
      <c r="F79" s="253"/>
      <c r="G79" s="253"/>
      <c r="H79" s="254"/>
    </row>
    <row r="80" spans="2:8" ht="18.75" customHeight="1">
      <c r="B80" s="9" t="s">
        <v>2</v>
      </c>
      <c r="C80" s="285" t="s">
        <v>3</v>
      </c>
      <c r="D80" s="265"/>
      <c r="E80" s="265"/>
      <c r="F80" s="265"/>
      <c r="G80" s="265"/>
      <c r="H80" s="276"/>
    </row>
    <row r="81" spans="2:8" ht="32.25" customHeight="1">
      <c r="B81" s="1" t="s">
        <v>4</v>
      </c>
      <c r="C81" s="271" t="s">
        <v>5</v>
      </c>
      <c r="D81" s="253"/>
      <c r="E81" s="253"/>
      <c r="F81" s="253"/>
      <c r="G81" s="253"/>
      <c r="H81" s="254"/>
    </row>
    <row r="82" spans="2:8" ht="32.4" customHeight="1">
      <c r="B82" s="1" t="s">
        <v>6</v>
      </c>
      <c r="C82" s="278" t="s">
        <v>7</v>
      </c>
      <c r="D82" s="254"/>
      <c r="E82" s="11" t="s">
        <v>8</v>
      </c>
      <c r="F82" s="271" t="s">
        <v>9</v>
      </c>
      <c r="G82" s="253"/>
      <c r="H82" s="254"/>
    </row>
    <row r="83" spans="2:8" ht="88.95" customHeight="1">
      <c r="B83" s="1" t="s">
        <v>10</v>
      </c>
      <c r="C83" s="278" t="s">
        <v>42</v>
      </c>
      <c r="D83" s="253"/>
      <c r="E83" s="253"/>
      <c r="F83" s="253"/>
      <c r="G83" s="253"/>
      <c r="H83" s="254"/>
    </row>
    <row r="84" spans="2:8" ht="28.2" customHeight="1">
      <c r="B84" s="1" t="s">
        <v>12</v>
      </c>
      <c r="C84" s="272" t="s">
        <v>43</v>
      </c>
      <c r="D84" s="253"/>
      <c r="E84" s="253"/>
      <c r="F84" s="253"/>
      <c r="G84" s="253"/>
      <c r="H84" s="254"/>
    </row>
    <row r="85" spans="2:8" ht="25.2" customHeight="1">
      <c r="B85" s="1" t="s">
        <v>14</v>
      </c>
      <c r="C85" s="284">
        <v>46049</v>
      </c>
      <c r="D85" s="254"/>
      <c r="E85" s="3" t="s">
        <v>15</v>
      </c>
      <c r="F85" s="284">
        <v>46066</v>
      </c>
      <c r="G85" s="253"/>
      <c r="H85" s="254"/>
    </row>
    <row r="86" spans="2:8" ht="22.5" customHeight="1">
      <c r="B86" s="279" t="s">
        <v>16</v>
      </c>
      <c r="C86" s="272" t="s">
        <v>17</v>
      </c>
      <c r="D86" s="262"/>
      <c r="E86" s="272" t="s">
        <v>18</v>
      </c>
      <c r="F86" s="262"/>
      <c r="G86" s="3" t="s">
        <v>19</v>
      </c>
      <c r="H86" s="3"/>
    </row>
    <row r="87" spans="2:8" ht="17.25" customHeight="1">
      <c r="B87" s="280"/>
      <c r="C87" s="273"/>
      <c r="D87" s="274"/>
      <c r="E87" s="273"/>
      <c r="F87" s="274"/>
      <c r="G87" s="3" t="s">
        <v>20</v>
      </c>
      <c r="H87" s="3" t="s">
        <v>21</v>
      </c>
    </row>
    <row r="88" spans="2:8" ht="17.25" customHeight="1">
      <c r="B88" s="281"/>
      <c r="C88" s="275"/>
      <c r="D88" s="276"/>
      <c r="E88" s="275"/>
      <c r="F88" s="276"/>
      <c r="G88" s="3" t="s">
        <v>22</v>
      </c>
      <c r="H88" s="3"/>
    </row>
    <row r="89" spans="2:8" ht="25.8" customHeight="1">
      <c r="B89" s="279" t="s">
        <v>23</v>
      </c>
      <c r="C89" s="283" t="s">
        <v>24</v>
      </c>
      <c r="D89" s="272" t="s">
        <v>25</v>
      </c>
      <c r="E89" s="3" t="s">
        <v>26</v>
      </c>
      <c r="F89" s="3"/>
      <c r="G89" s="3" t="s">
        <v>27</v>
      </c>
      <c r="H89" s="3">
        <v>20</v>
      </c>
    </row>
    <row r="90" spans="2:8" ht="27.6" customHeight="1">
      <c r="B90" s="281"/>
      <c r="C90" s="275"/>
      <c r="D90" s="281"/>
      <c r="E90" s="3" t="s">
        <v>28</v>
      </c>
      <c r="F90" s="3" t="s">
        <v>29</v>
      </c>
      <c r="G90" s="3" t="s">
        <v>30</v>
      </c>
      <c r="H90" s="12" t="s">
        <v>31</v>
      </c>
    </row>
    <row r="93" spans="2:8" ht="61.2" customHeight="1">
      <c r="B93" s="7"/>
      <c r="C93" s="282" t="s">
        <v>35</v>
      </c>
      <c r="D93" s="269"/>
      <c r="E93" s="269"/>
      <c r="F93" s="269"/>
      <c r="G93" s="269"/>
      <c r="H93" s="262"/>
    </row>
    <row r="94" spans="2:8" ht="31.8" customHeight="1">
      <c r="B94" s="8"/>
      <c r="C94" s="277" t="s">
        <v>1</v>
      </c>
      <c r="D94" s="253"/>
      <c r="E94" s="253"/>
      <c r="F94" s="253"/>
      <c r="G94" s="253"/>
      <c r="H94" s="254"/>
    </row>
    <row r="95" spans="2:8" ht="18.75" customHeight="1">
      <c r="B95" s="9" t="s">
        <v>2</v>
      </c>
      <c r="C95" s="285" t="s">
        <v>3</v>
      </c>
      <c r="D95" s="265"/>
      <c r="E95" s="265"/>
      <c r="F95" s="265"/>
      <c r="G95" s="265"/>
      <c r="H95" s="276"/>
    </row>
    <row r="96" spans="2:8" ht="32.25" customHeight="1">
      <c r="B96" s="1" t="s">
        <v>4</v>
      </c>
      <c r="C96" s="271" t="s">
        <v>5</v>
      </c>
      <c r="D96" s="253"/>
      <c r="E96" s="253"/>
      <c r="F96" s="253"/>
      <c r="G96" s="253"/>
      <c r="H96" s="254"/>
    </row>
    <row r="97" spans="2:8" ht="32.4" customHeight="1">
      <c r="B97" s="1" t="s">
        <v>6</v>
      </c>
      <c r="C97" s="278" t="s">
        <v>7</v>
      </c>
      <c r="D97" s="254"/>
      <c r="E97" s="11" t="s">
        <v>8</v>
      </c>
      <c r="F97" s="271" t="s">
        <v>9</v>
      </c>
      <c r="G97" s="253"/>
      <c r="H97" s="254"/>
    </row>
    <row r="98" spans="2:8" ht="88.95" customHeight="1">
      <c r="B98" s="1" t="s">
        <v>10</v>
      </c>
      <c r="C98" s="278" t="s">
        <v>44</v>
      </c>
      <c r="D98" s="253"/>
      <c r="E98" s="253"/>
      <c r="F98" s="253"/>
      <c r="G98" s="253"/>
      <c r="H98" s="254"/>
    </row>
    <row r="99" spans="2:8" ht="28.2" customHeight="1">
      <c r="B99" s="1" t="s">
        <v>12</v>
      </c>
      <c r="C99" s="272" t="s">
        <v>45</v>
      </c>
      <c r="D99" s="253"/>
      <c r="E99" s="253"/>
      <c r="F99" s="253"/>
      <c r="G99" s="253"/>
      <c r="H99" s="254"/>
    </row>
    <row r="100" spans="2:8" ht="25.2" customHeight="1">
      <c r="B100" s="1" t="s">
        <v>14</v>
      </c>
      <c r="C100" s="284">
        <v>46049</v>
      </c>
      <c r="D100" s="254"/>
      <c r="E100" s="3" t="s">
        <v>15</v>
      </c>
      <c r="F100" s="284">
        <v>46077</v>
      </c>
      <c r="G100" s="253"/>
      <c r="H100" s="254"/>
    </row>
    <row r="101" spans="2:8" ht="22.5" customHeight="1">
      <c r="B101" s="279" t="s">
        <v>16</v>
      </c>
      <c r="C101" s="272" t="s">
        <v>17</v>
      </c>
      <c r="D101" s="262"/>
      <c r="E101" s="272" t="s">
        <v>18</v>
      </c>
      <c r="F101" s="262"/>
      <c r="G101" s="3" t="s">
        <v>19</v>
      </c>
      <c r="H101" s="3"/>
    </row>
    <row r="102" spans="2:8" ht="17.25" customHeight="1">
      <c r="B102" s="280"/>
      <c r="C102" s="273"/>
      <c r="D102" s="274"/>
      <c r="E102" s="273"/>
      <c r="F102" s="274"/>
      <c r="G102" s="3" t="s">
        <v>20</v>
      </c>
      <c r="H102" s="3" t="s">
        <v>21</v>
      </c>
    </row>
    <row r="103" spans="2:8" ht="17.25" customHeight="1">
      <c r="B103" s="281"/>
      <c r="C103" s="275"/>
      <c r="D103" s="276"/>
      <c r="E103" s="275"/>
      <c r="F103" s="276"/>
      <c r="G103" s="3" t="s">
        <v>22</v>
      </c>
      <c r="H103" s="3"/>
    </row>
    <row r="104" spans="2:8" ht="25.8" customHeight="1">
      <c r="B104" s="279" t="s">
        <v>23</v>
      </c>
      <c r="C104" s="283" t="s">
        <v>24</v>
      </c>
      <c r="D104" s="272" t="s">
        <v>25</v>
      </c>
      <c r="E104" s="3" t="s">
        <v>26</v>
      </c>
      <c r="F104" s="3"/>
      <c r="G104" s="3" t="s">
        <v>27</v>
      </c>
      <c r="H104" s="3">
        <v>17</v>
      </c>
    </row>
    <row r="105" spans="2:8" ht="27.6" customHeight="1">
      <c r="B105" s="281"/>
      <c r="C105" s="275"/>
      <c r="D105" s="281"/>
      <c r="E105" s="3" t="s">
        <v>28</v>
      </c>
      <c r="F105" s="3" t="s">
        <v>29</v>
      </c>
      <c r="G105" s="3" t="s">
        <v>30</v>
      </c>
      <c r="H105" s="12" t="s">
        <v>31</v>
      </c>
    </row>
    <row r="108" spans="2:8" ht="61.2" customHeight="1">
      <c r="B108" s="7"/>
      <c r="C108" s="282" t="s">
        <v>35</v>
      </c>
      <c r="D108" s="269"/>
      <c r="E108" s="269"/>
      <c r="F108" s="269"/>
      <c r="G108" s="269"/>
      <c r="H108" s="262"/>
    </row>
    <row r="109" spans="2:8" ht="31.8" customHeight="1">
      <c r="B109" s="8"/>
      <c r="C109" s="277" t="s">
        <v>1</v>
      </c>
      <c r="D109" s="253"/>
      <c r="E109" s="253"/>
      <c r="F109" s="253"/>
      <c r="G109" s="253"/>
      <c r="H109" s="254"/>
    </row>
    <row r="110" spans="2:8" ht="18.75" customHeight="1">
      <c r="B110" s="9" t="s">
        <v>2</v>
      </c>
      <c r="C110" s="285" t="s">
        <v>3</v>
      </c>
      <c r="D110" s="265"/>
      <c r="E110" s="265"/>
      <c r="F110" s="265"/>
      <c r="G110" s="265"/>
      <c r="H110" s="276"/>
    </row>
    <row r="111" spans="2:8" ht="32.25" customHeight="1">
      <c r="B111" s="1" t="s">
        <v>4</v>
      </c>
      <c r="C111" s="271" t="s">
        <v>5</v>
      </c>
      <c r="D111" s="253"/>
      <c r="E111" s="253"/>
      <c r="F111" s="253"/>
      <c r="G111" s="253"/>
      <c r="H111" s="254"/>
    </row>
    <row r="112" spans="2:8" ht="32.4" customHeight="1">
      <c r="B112" s="1" t="s">
        <v>6</v>
      </c>
      <c r="C112" s="278" t="s">
        <v>7</v>
      </c>
      <c r="D112" s="254"/>
      <c r="E112" s="11" t="s">
        <v>8</v>
      </c>
      <c r="F112" s="271" t="s">
        <v>9</v>
      </c>
      <c r="G112" s="253"/>
      <c r="H112" s="254"/>
    </row>
    <row r="113" spans="2:8" ht="88.95" customHeight="1">
      <c r="B113" s="1" t="s">
        <v>10</v>
      </c>
      <c r="C113" s="278" t="s">
        <v>46</v>
      </c>
      <c r="D113" s="253"/>
      <c r="E113" s="253"/>
      <c r="F113" s="253"/>
      <c r="G113" s="253"/>
      <c r="H113" s="254"/>
    </row>
    <row r="114" spans="2:8" ht="28.2" customHeight="1">
      <c r="B114" s="1" t="s">
        <v>12</v>
      </c>
      <c r="C114" s="272" t="s">
        <v>47</v>
      </c>
      <c r="D114" s="253"/>
      <c r="E114" s="253"/>
      <c r="F114" s="253"/>
      <c r="G114" s="253"/>
      <c r="H114" s="254"/>
    </row>
    <row r="115" spans="2:8" ht="25.2" customHeight="1">
      <c r="B115" s="1" t="s">
        <v>14</v>
      </c>
      <c r="C115" s="284">
        <v>46052</v>
      </c>
      <c r="D115" s="254"/>
      <c r="E115" s="3" t="s">
        <v>15</v>
      </c>
      <c r="F115" s="284">
        <v>46077</v>
      </c>
      <c r="G115" s="253"/>
      <c r="H115" s="254"/>
    </row>
    <row r="116" spans="2:8" ht="22.5" customHeight="1">
      <c r="B116" s="279" t="s">
        <v>16</v>
      </c>
      <c r="C116" s="272" t="s">
        <v>17</v>
      </c>
      <c r="D116" s="262"/>
      <c r="E116" s="272" t="s">
        <v>18</v>
      </c>
      <c r="F116" s="262"/>
      <c r="G116" s="3" t="s">
        <v>19</v>
      </c>
      <c r="H116" s="3"/>
    </row>
    <row r="117" spans="2:8" ht="17.25" customHeight="1">
      <c r="B117" s="280"/>
      <c r="C117" s="273"/>
      <c r="D117" s="274"/>
      <c r="E117" s="273"/>
      <c r="F117" s="274"/>
      <c r="G117" s="3" t="s">
        <v>20</v>
      </c>
      <c r="H117" s="3" t="s">
        <v>21</v>
      </c>
    </row>
    <row r="118" spans="2:8" ht="17.25" customHeight="1">
      <c r="B118" s="281"/>
      <c r="C118" s="275"/>
      <c r="D118" s="276"/>
      <c r="E118" s="275"/>
      <c r="F118" s="276"/>
      <c r="G118" s="3" t="s">
        <v>22</v>
      </c>
      <c r="H118" s="3"/>
    </row>
    <row r="119" spans="2:8" ht="25.8" customHeight="1">
      <c r="B119" s="279" t="s">
        <v>23</v>
      </c>
      <c r="C119" s="283" t="s">
        <v>24</v>
      </c>
      <c r="D119" s="272" t="s">
        <v>25</v>
      </c>
      <c r="E119" s="3" t="s">
        <v>26</v>
      </c>
      <c r="F119" s="3"/>
      <c r="G119" s="3" t="s">
        <v>27</v>
      </c>
      <c r="H119" s="3">
        <v>15</v>
      </c>
    </row>
    <row r="120" spans="2:8" ht="27.6" customHeight="1">
      <c r="B120" s="281"/>
      <c r="C120" s="275"/>
      <c r="D120" s="281"/>
      <c r="E120" s="3" t="s">
        <v>28</v>
      </c>
      <c r="F120" s="3" t="s">
        <v>29</v>
      </c>
      <c r="G120" s="3" t="s">
        <v>30</v>
      </c>
      <c r="H120" s="12" t="s">
        <v>31</v>
      </c>
    </row>
    <row r="123" spans="2:8" ht="61.2" customHeight="1">
      <c r="B123" s="7"/>
      <c r="C123" s="282" t="s">
        <v>35</v>
      </c>
      <c r="D123" s="269"/>
      <c r="E123" s="269"/>
      <c r="F123" s="269"/>
      <c r="G123" s="269"/>
      <c r="H123" s="262"/>
    </row>
    <row r="124" spans="2:8" ht="31.8" customHeight="1">
      <c r="B124" s="8"/>
      <c r="C124" s="277" t="s">
        <v>1</v>
      </c>
      <c r="D124" s="253"/>
      <c r="E124" s="253"/>
      <c r="F124" s="253"/>
      <c r="G124" s="253"/>
      <c r="H124" s="254"/>
    </row>
    <row r="125" spans="2:8" ht="18.75" customHeight="1">
      <c r="B125" s="9" t="s">
        <v>2</v>
      </c>
      <c r="C125" s="285" t="s">
        <v>3</v>
      </c>
      <c r="D125" s="265"/>
      <c r="E125" s="265"/>
      <c r="F125" s="265"/>
      <c r="G125" s="265"/>
      <c r="H125" s="276"/>
    </row>
    <row r="126" spans="2:8" ht="32.25" customHeight="1">
      <c r="B126" s="1" t="s">
        <v>4</v>
      </c>
      <c r="C126" s="271" t="s">
        <v>5</v>
      </c>
      <c r="D126" s="253"/>
      <c r="E126" s="253"/>
      <c r="F126" s="253"/>
      <c r="G126" s="253"/>
      <c r="H126" s="254"/>
    </row>
    <row r="127" spans="2:8" ht="32.4" customHeight="1">
      <c r="B127" s="1" t="s">
        <v>6</v>
      </c>
      <c r="C127" s="278" t="s">
        <v>7</v>
      </c>
      <c r="D127" s="254"/>
      <c r="E127" s="11" t="s">
        <v>8</v>
      </c>
      <c r="F127" s="271" t="s">
        <v>9</v>
      </c>
      <c r="G127" s="253"/>
      <c r="H127" s="254"/>
    </row>
    <row r="128" spans="2:8" ht="88.95" customHeight="1">
      <c r="B128" s="1" t="s">
        <v>10</v>
      </c>
      <c r="C128" s="278" t="s">
        <v>48</v>
      </c>
      <c r="D128" s="253"/>
      <c r="E128" s="253"/>
      <c r="F128" s="253"/>
      <c r="G128" s="253"/>
      <c r="H128" s="254"/>
    </row>
    <row r="129" spans="2:8" ht="28.2" customHeight="1">
      <c r="B129" s="1" t="s">
        <v>12</v>
      </c>
      <c r="C129" s="272" t="s">
        <v>49</v>
      </c>
      <c r="D129" s="253"/>
      <c r="E129" s="253"/>
      <c r="F129" s="253"/>
      <c r="G129" s="253"/>
      <c r="H129" s="254"/>
    </row>
    <row r="130" spans="2:8" ht="25.2" customHeight="1">
      <c r="B130" s="1" t="s">
        <v>14</v>
      </c>
      <c r="C130" s="284">
        <v>46052</v>
      </c>
      <c r="D130" s="254"/>
      <c r="E130" s="3" t="s">
        <v>15</v>
      </c>
      <c r="F130" s="284">
        <v>46058</v>
      </c>
      <c r="G130" s="253"/>
      <c r="H130" s="254"/>
    </row>
    <row r="131" spans="2:8" ht="22.5" customHeight="1">
      <c r="B131" s="279" t="s">
        <v>16</v>
      </c>
      <c r="C131" s="272" t="s">
        <v>17</v>
      </c>
      <c r="D131" s="262"/>
      <c r="E131" s="272" t="s">
        <v>18</v>
      </c>
      <c r="F131" s="262"/>
      <c r="G131" s="3" t="s">
        <v>19</v>
      </c>
      <c r="H131" s="3"/>
    </row>
    <row r="132" spans="2:8" ht="17.25" customHeight="1">
      <c r="B132" s="280"/>
      <c r="C132" s="273"/>
      <c r="D132" s="274"/>
      <c r="E132" s="273"/>
      <c r="F132" s="274"/>
      <c r="G132" s="3" t="s">
        <v>20</v>
      </c>
      <c r="H132" s="3" t="s">
        <v>21</v>
      </c>
    </row>
    <row r="133" spans="2:8" ht="17.25" customHeight="1">
      <c r="B133" s="281"/>
      <c r="C133" s="275"/>
      <c r="D133" s="276"/>
      <c r="E133" s="275"/>
      <c r="F133" s="276"/>
      <c r="G133" s="3" t="s">
        <v>22</v>
      </c>
      <c r="H133" s="3"/>
    </row>
    <row r="134" spans="2:8" ht="25.8" customHeight="1">
      <c r="B134" s="279" t="s">
        <v>23</v>
      </c>
      <c r="C134" s="283" t="s">
        <v>24</v>
      </c>
      <c r="D134" s="272" t="s">
        <v>25</v>
      </c>
      <c r="E134" s="3" t="s">
        <v>26</v>
      </c>
      <c r="F134" s="3"/>
      <c r="G134" s="3" t="s">
        <v>27</v>
      </c>
      <c r="H134" s="3">
        <v>19</v>
      </c>
    </row>
    <row r="135" spans="2:8" ht="27.6" customHeight="1">
      <c r="B135" s="281"/>
      <c r="C135" s="275"/>
      <c r="D135" s="281"/>
      <c r="E135" s="3" t="s">
        <v>28</v>
      </c>
      <c r="F135" s="3" t="s">
        <v>29</v>
      </c>
      <c r="G135" s="3" t="s">
        <v>30</v>
      </c>
      <c r="H135" s="12" t="s">
        <v>31</v>
      </c>
    </row>
    <row r="138" spans="2:8" ht="61.2" customHeight="1">
      <c r="B138" s="7"/>
      <c r="C138" s="282" t="s">
        <v>35</v>
      </c>
      <c r="D138" s="269"/>
      <c r="E138" s="269"/>
      <c r="F138" s="269"/>
      <c r="G138" s="269"/>
      <c r="H138" s="262"/>
    </row>
    <row r="139" spans="2:8" ht="31.8" customHeight="1">
      <c r="B139" s="8"/>
      <c r="C139" s="277" t="s">
        <v>1</v>
      </c>
      <c r="D139" s="253"/>
      <c r="E139" s="253"/>
      <c r="F139" s="253"/>
      <c r="G139" s="253"/>
      <c r="H139" s="254"/>
    </row>
    <row r="140" spans="2:8" ht="18.75" customHeight="1">
      <c r="B140" s="9" t="s">
        <v>2</v>
      </c>
      <c r="C140" s="285" t="s">
        <v>3</v>
      </c>
      <c r="D140" s="265"/>
      <c r="E140" s="265"/>
      <c r="F140" s="265"/>
      <c r="G140" s="265"/>
      <c r="H140" s="276"/>
    </row>
    <row r="141" spans="2:8" ht="32.25" customHeight="1">
      <c r="B141" s="1" t="s">
        <v>4</v>
      </c>
      <c r="C141" s="271" t="s">
        <v>5</v>
      </c>
      <c r="D141" s="253"/>
      <c r="E141" s="253"/>
      <c r="F141" s="253"/>
      <c r="G141" s="253"/>
      <c r="H141" s="254"/>
    </row>
    <row r="142" spans="2:8" ht="32.4" customHeight="1">
      <c r="B142" s="1" t="s">
        <v>6</v>
      </c>
      <c r="C142" s="278" t="s">
        <v>7</v>
      </c>
      <c r="D142" s="254"/>
      <c r="E142" s="11" t="s">
        <v>8</v>
      </c>
      <c r="F142" s="271" t="s">
        <v>9</v>
      </c>
      <c r="G142" s="253"/>
      <c r="H142" s="254"/>
    </row>
    <row r="143" spans="2:8" ht="88.95" customHeight="1">
      <c r="B143" s="1" t="s">
        <v>10</v>
      </c>
      <c r="C143" s="278" t="s">
        <v>50</v>
      </c>
      <c r="D143" s="253"/>
      <c r="E143" s="253"/>
      <c r="F143" s="253"/>
      <c r="G143" s="253"/>
      <c r="H143" s="254"/>
    </row>
    <row r="144" spans="2:8" ht="28.2" customHeight="1">
      <c r="B144" s="1" t="s">
        <v>12</v>
      </c>
      <c r="C144" s="272" t="s">
        <v>51</v>
      </c>
      <c r="D144" s="253"/>
      <c r="E144" s="253"/>
      <c r="F144" s="253"/>
      <c r="G144" s="253"/>
      <c r="H144" s="254"/>
    </row>
    <row r="145" spans="2:8" ht="25.2" customHeight="1">
      <c r="B145" s="1" t="s">
        <v>14</v>
      </c>
      <c r="C145" s="284">
        <v>46055</v>
      </c>
      <c r="D145" s="254"/>
      <c r="E145" s="3" t="s">
        <v>15</v>
      </c>
      <c r="F145" s="284">
        <v>46094</v>
      </c>
      <c r="G145" s="253"/>
      <c r="H145" s="254"/>
    </row>
    <row r="146" spans="2:8" ht="22.5" customHeight="1">
      <c r="B146" s="279" t="s">
        <v>16</v>
      </c>
      <c r="C146" s="272" t="s">
        <v>17</v>
      </c>
      <c r="D146" s="262"/>
      <c r="E146" s="272" t="s">
        <v>18</v>
      </c>
      <c r="F146" s="262"/>
      <c r="G146" s="3" t="s">
        <v>19</v>
      </c>
      <c r="H146" s="3"/>
    </row>
    <row r="147" spans="2:8" ht="17.25" customHeight="1">
      <c r="B147" s="280"/>
      <c r="C147" s="273"/>
      <c r="D147" s="274"/>
      <c r="E147" s="273"/>
      <c r="F147" s="274"/>
      <c r="G147" s="3" t="s">
        <v>20</v>
      </c>
      <c r="H147" s="3" t="s">
        <v>21</v>
      </c>
    </row>
    <row r="148" spans="2:8" ht="17.25" customHeight="1">
      <c r="B148" s="281"/>
      <c r="C148" s="275"/>
      <c r="D148" s="276"/>
      <c r="E148" s="275"/>
      <c r="F148" s="276"/>
      <c r="G148" s="3" t="s">
        <v>22</v>
      </c>
      <c r="H148" s="3"/>
    </row>
    <row r="149" spans="2:8" ht="25.8" customHeight="1">
      <c r="B149" s="279" t="s">
        <v>23</v>
      </c>
      <c r="C149" s="283" t="s">
        <v>24</v>
      </c>
      <c r="D149" s="272" t="s">
        <v>25</v>
      </c>
      <c r="E149" s="3" t="s">
        <v>26</v>
      </c>
      <c r="F149" s="3"/>
      <c r="G149" s="3" t="s">
        <v>27</v>
      </c>
      <c r="H149" s="3">
        <v>13</v>
      </c>
    </row>
    <row r="150" spans="2:8" ht="27.6" customHeight="1">
      <c r="B150" s="281"/>
      <c r="C150" s="275"/>
      <c r="D150" s="281"/>
      <c r="E150" s="3" t="s">
        <v>28</v>
      </c>
      <c r="F150" s="3" t="s">
        <v>29</v>
      </c>
      <c r="G150" s="3" t="s">
        <v>30</v>
      </c>
      <c r="H150" s="12" t="s">
        <v>31</v>
      </c>
    </row>
    <row r="153" spans="2:8" ht="61.2" customHeight="1">
      <c r="B153" s="7"/>
      <c r="C153" s="282" t="s">
        <v>35</v>
      </c>
      <c r="D153" s="269"/>
      <c r="E153" s="269"/>
      <c r="F153" s="269"/>
      <c r="G153" s="269"/>
      <c r="H153" s="262"/>
    </row>
    <row r="154" spans="2:8" ht="31.8" customHeight="1">
      <c r="B154" s="8"/>
      <c r="C154" s="277" t="s">
        <v>1</v>
      </c>
      <c r="D154" s="253"/>
      <c r="E154" s="253"/>
      <c r="F154" s="253"/>
      <c r="G154" s="253"/>
      <c r="H154" s="254"/>
    </row>
    <row r="155" spans="2:8" ht="18.75" customHeight="1">
      <c r="B155" s="9" t="s">
        <v>2</v>
      </c>
      <c r="C155" s="285" t="s">
        <v>3</v>
      </c>
      <c r="D155" s="265"/>
      <c r="E155" s="265"/>
      <c r="F155" s="265"/>
      <c r="G155" s="265"/>
      <c r="H155" s="276"/>
    </row>
    <row r="156" spans="2:8" ht="32.25" customHeight="1">
      <c r="B156" s="1" t="s">
        <v>4</v>
      </c>
      <c r="C156" s="271" t="s">
        <v>5</v>
      </c>
      <c r="D156" s="253"/>
      <c r="E156" s="253"/>
      <c r="F156" s="253"/>
      <c r="G156" s="253"/>
      <c r="H156" s="254"/>
    </row>
    <row r="157" spans="2:8" ht="32.4" customHeight="1">
      <c r="B157" s="1" t="s">
        <v>6</v>
      </c>
      <c r="C157" s="278" t="s">
        <v>7</v>
      </c>
      <c r="D157" s="254"/>
      <c r="E157" s="11" t="s">
        <v>8</v>
      </c>
      <c r="F157" s="271" t="s">
        <v>9</v>
      </c>
      <c r="G157" s="253"/>
      <c r="H157" s="254"/>
    </row>
    <row r="158" spans="2:8" ht="88.95" customHeight="1">
      <c r="B158" s="1" t="s">
        <v>10</v>
      </c>
      <c r="C158" s="278" t="s">
        <v>52</v>
      </c>
      <c r="D158" s="253"/>
      <c r="E158" s="253"/>
      <c r="F158" s="253"/>
      <c r="G158" s="253"/>
      <c r="H158" s="254"/>
    </row>
    <row r="159" spans="2:8" ht="28.2" customHeight="1">
      <c r="B159" s="1" t="s">
        <v>12</v>
      </c>
      <c r="C159" s="272" t="s">
        <v>53</v>
      </c>
      <c r="D159" s="253"/>
      <c r="E159" s="253"/>
      <c r="F159" s="253"/>
      <c r="G159" s="253"/>
      <c r="H159" s="254"/>
    </row>
    <row r="160" spans="2:8" ht="25.2" customHeight="1">
      <c r="B160" s="1" t="s">
        <v>14</v>
      </c>
      <c r="C160" s="284" t="s">
        <v>54</v>
      </c>
      <c r="D160" s="254"/>
      <c r="E160" s="3" t="s">
        <v>15</v>
      </c>
      <c r="F160" s="284">
        <v>46091</v>
      </c>
      <c r="G160" s="253"/>
      <c r="H160" s="254"/>
    </row>
    <row r="161" spans="2:8" ht="22.5" customHeight="1">
      <c r="B161" s="279" t="s">
        <v>16</v>
      </c>
      <c r="C161" s="272" t="s">
        <v>17</v>
      </c>
      <c r="D161" s="262"/>
      <c r="E161" s="272" t="s">
        <v>18</v>
      </c>
      <c r="F161" s="262"/>
      <c r="G161" s="3" t="s">
        <v>19</v>
      </c>
      <c r="H161" s="3"/>
    </row>
    <row r="162" spans="2:8" ht="17.25" customHeight="1">
      <c r="B162" s="280"/>
      <c r="C162" s="273"/>
      <c r="D162" s="274"/>
      <c r="E162" s="273"/>
      <c r="F162" s="274"/>
      <c r="G162" s="3" t="s">
        <v>20</v>
      </c>
      <c r="H162" s="3" t="s">
        <v>21</v>
      </c>
    </row>
    <row r="163" spans="2:8" ht="17.25" customHeight="1">
      <c r="B163" s="281"/>
      <c r="C163" s="275"/>
      <c r="D163" s="276"/>
      <c r="E163" s="275"/>
      <c r="F163" s="276"/>
      <c r="G163" s="3" t="s">
        <v>22</v>
      </c>
      <c r="H163" s="3"/>
    </row>
    <row r="164" spans="2:8" ht="25.8" customHeight="1">
      <c r="B164" s="279" t="s">
        <v>23</v>
      </c>
      <c r="C164" s="283" t="s">
        <v>24</v>
      </c>
      <c r="D164" s="272" t="s">
        <v>25</v>
      </c>
      <c r="E164" s="3" t="s">
        <v>26</v>
      </c>
      <c r="F164" s="3"/>
      <c r="G164" s="3" t="s">
        <v>27</v>
      </c>
      <c r="H164" s="3">
        <v>20</v>
      </c>
    </row>
    <row r="165" spans="2:8" ht="27.6" customHeight="1">
      <c r="B165" s="281"/>
      <c r="C165" s="275"/>
      <c r="D165" s="281"/>
      <c r="E165" s="3" t="s">
        <v>28</v>
      </c>
      <c r="F165" s="3" t="s">
        <v>29</v>
      </c>
      <c r="G165" s="3" t="s">
        <v>30</v>
      </c>
      <c r="H165" s="12" t="s">
        <v>31</v>
      </c>
    </row>
    <row r="168" spans="2:8" ht="61.2" customHeight="1">
      <c r="B168" s="7"/>
      <c r="C168" s="282" t="s">
        <v>35</v>
      </c>
      <c r="D168" s="269"/>
      <c r="E168" s="269"/>
      <c r="F168" s="269"/>
      <c r="G168" s="269"/>
      <c r="H168" s="262"/>
    </row>
    <row r="169" spans="2:8" ht="31.8" customHeight="1">
      <c r="B169" s="8"/>
      <c r="C169" s="277" t="s">
        <v>1</v>
      </c>
      <c r="D169" s="253"/>
      <c r="E169" s="253"/>
      <c r="F169" s="253"/>
      <c r="G169" s="253"/>
      <c r="H169" s="254"/>
    </row>
    <row r="170" spans="2:8" ht="18.75" customHeight="1">
      <c r="B170" s="9" t="s">
        <v>2</v>
      </c>
      <c r="C170" s="285" t="s">
        <v>3</v>
      </c>
      <c r="D170" s="265"/>
      <c r="E170" s="265"/>
      <c r="F170" s="265"/>
      <c r="G170" s="265"/>
      <c r="H170" s="276"/>
    </row>
    <row r="171" spans="2:8" ht="32.25" customHeight="1">
      <c r="B171" s="1" t="s">
        <v>4</v>
      </c>
      <c r="C171" s="271" t="s">
        <v>5</v>
      </c>
      <c r="D171" s="253"/>
      <c r="E171" s="253"/>
      <c r="F171" s="253"/>
      <c r="G171" s="253"/>
      <c r="H171" s="254"/>
    </row>
    <row r="172" spans="2:8" ht="32.4" customHeight="1">
      <c r="B172" s="1" t="s">
        <v>6</v>
      </c>
      <c r="C172" s="278" t="s">
        <v>7</v>
      </c>
      <c r="D172" s="254"/>
      <c r="E172" s="11" t="s">
        <v>8</v>
      </c>
      <c r="F172" s="271" t="s">
        <v>9</v>
      </c>
      <c r="G172" s="253"/>
      <c r="H172" s="254"/>
    </row>
    <row r="173" spans="2:8" ht="88.95" customHeight="1">
      <c r="B173" s="1" t="s">
        <v>10</v>
      </c>
      <c r="C173" s="278" t="s">
        <v>55</v>
      </c>
      <c r="D173" s="253"/>
      <c r="E173" s="253"/>
      <c r="F173" s="253"/>
      <c r="G173" s="253"/>
      <c r="H173" s="254"/>
    </row>
    <row r="174" spans="2:8" ht="28.2" customHeight="1">
      <c r="B174" s="1" t="s">
        <v>12</v>
      </c>
      <c r="C174" s="272" t="s">
        <v>56</v>
      </c>
      <c r="D174" s="253"/>
      <c r="E174" s="253"/>
      <c r="F174" s="253"/>
      <c r="G174" s="253"/>
      <c r="H174" s="254"/>
    </row>
    <row r="175" spans="2:8" ht="25.2" customHeight="1">
      <c r="B175" s="1" t="s">
        <v>14</v>
      </c>
      <c r="C175" s="284">
        <v>46064</v>
      </c>
      <c r="D175" s="254"/>
      <c r="E175" s="3" t="s">
        <v>15</v>
      </c>
      <c r="F175" s="284">
        <v>46086</v>
      </c>
      <c r="G175" s="253"/>
      <c r="H175" s="254"/>
    </row>
    <row r="176" spans="2:8" ht="22.5" customHeight="1">
      <c r="B176" s="279" t="s">
        <v>16</v>
      </c>
      <c r="C176" s="272" t="s">
        <v>17</v>
      </c>
      <c r="D176" s="262"/>
      <c r="E176" s="272" t="s">
        <v>18</v>
      </c>
      <c r="F176" s="262"/>
      <c r="G176" s="3" t="s">
        <v>19</v>
      </c>
      <c r="H176" s="3"/>
    </row>
    <row r="177" spans="2:8" ht="17.25" customHeight="1">
      <c r="B177" s="280"/>
      <c r="C177" s="273"/>
      <c r="D177" s="274"/>
      <c r="E177" s="273"/>
      <c r="F177" s="274"/>
      <c r="G177" s="3" t="s">
        <v>20</v>
      </c>
      <c r="H177" s="3" t="s">
        <v>21</v>
      </c>
    </row>
    <row r="178" spans="2:8" ht="17.25" customHeight="1">
      <c r="B178" s="281"/>
      <c r="C178" s="275"/>
      <c r="D178" s="276"/>
      <c r="E178" s="275"/>
      <c r="F178" s="276"/>
      <c r="G178" s="3" t="s">
        <v>22</v>
      </c>
      <c r="H178" s="3"/>
    </row>
    <row r="179" spans="2:8" ht="25.8" customHeight="1">
      <c r="B179" s="279" t="s">
        <v>23</v>
      </c>
      <c r="C179" s="283" t="s">
        <v>24</v>
      </c>
      <c r="D179" s="272" t="s">
        <v>25</v>
      </c>
      <c r="E179" s="3" t="s">
        <v>26</v>
      </c>
      <c r="F179" s="3"/>
      <c r="G179" s="3" t="s">
        <v>27</v>
      </c>
      <c r="H179" s="3">
        <v>15</v>
      </c>
    </row>
    <row r="180" spans="2:8" ht="27.6" customHeight="1">
      <c r="B180" s="281"/>
      <c r="C180" s="275"/>
      <c r="D180" s="281"/>
      <c r="E180" s="3" t="s">
        <v>28</v>
      </c>
      <c r="F180" s="3" t="s">
        <v>29</v>
      </c>
      <c r="G180" s="3" t="s">
        <v>30</v>
      </c>
      <c r="H180" s="12" t="s">
        <v>31</v>
      </c>
    </row>
    <row r="183" spans="2:8" ht="61.2" customHeight="1">
      <c r="B183" s="7"/>
      <c r="C183" s="282" t="s">
        <v>35</v>
      </c>
      <c r="D183" s="269"/>
      <c r="E183" s="269"/>
      <c r="F183" s="269"/>
      <c r="G183" s="269"/>
      <c r="H183" s="262"/>
    </row>
    <row r="184" spans="2:8" ht="31.8" customHeight="1">
      <c r="B184" s="8"/>
      <c r="C184" s="277" t="s">
        <v>1</v>
      </c>
      <c r="D184" s="253"/>
      <c r="E184" s="253"/>
      <c r="F184" s="253"/>
      <c r="G184" s="253"/>
      <c r="H184" s="254"/>
    </row>
    <row r="185" spans="2:8" ht="18.75" customHeight="1">
      <c r="B185" s="9" t="s">
        <v>2</v>
      </c>
      <c r="C185" s="285" t="s">
        <v>3</v>
      </c>
      <c r="D185" s="265"/>
      <c r="E185" s="265"/>
      <c r="F185" s="265"/>
      <c r="G185" s="265"/>
      <c r="H185" s="276"/>
    </row>
    <row r="186" spans="2:8" ht="32.25" customHeight="1">
      <c r="B186" s="1" t="s">
        <v>4</v>
      </c>
      <c r="C186" s="271" t="s">
        <v>5</v>
      </c>
      <c r="D186" s="253"/>
      <c r="E186" s="253"/>
      <c r="F186" s="253"/>
      <c r="G186" s="253"/>
      <c r="H186" s="254"/>
    </row>
    <row r="187" spans="2:8" ht="32.4" customHeight="1">
      <c r="B187" s="1" t="s">
        <v>6</v>
      </c>
      <c r="C187" s="278" t="s">
        <v>7</v>
      </c>
      <c r="D187" s="254"/>
      <c r="E187" s="11" t="s">
        <v>8</v>
      </c>
      <c r="F187" s="271" t="s">
        <v>9</v>
      </c>
      <c r="G187" s="253"/>
      <c r="H187" s="254"/>
    </row>
    <row r="188" spans="2:8" ht="88.95" customHeight="1">
      <c r="B188" s="1" t="s">
        <v>10</v>
      </c>
      <c r="C188" s="278" t="s">
        <v>57</v>
      </c>
      <c r="D188" s="253"/>
      <c r="E188" s="253"/>
      <c r="F188" s="253"/>
      <c r="G188" s="253"/>
      <c r="H188" s="254"/>
    </row>
    <row r="189" spans="2:8" ht="28.2" customHeight="1">
      <c r="B189" s="1" t="s">
        <v>12</v>
      </c>
      <c r="C189" s="272" t="s">
        <v>58</v>
      </c>
      <c r="D189" s="253"/>
      <c r="E189" s="253"/>
      <c r="F189" s="253"/>
      <c r="G189" s="253"/>
      <c r="H189" s="254"/>
    </row>
    <row r="190" spans="2:8" ht="25.2" customHeight="1">
      <c r="B190" s="1" t="s">
        <v>14</v>
      </c>
      <c r="C190" s="284">
        <v>46064</v>
      </c>
      <c r="D190" s="254"/>
      <c r="E190" s="3" t="s">
        <v>15</v>
      </c>
      <c r="F190" s="284">
        <v>46085</v>
      </c>
      <c r="G190" s="253"/>
      <c r="H190" s="254"/>
    </row>
    <row r="191" spans="2:8" ht="22.5" customHeight="1">
      <c r="B191" s="279" t="s">
        <v>16</v>
      </c>
      <c r="C191" s="272" t="s">
        <v>17</v>
      </c>
      <c r="D191" s="262"/>
      <c r="E191" s="272" t="s">
        <v>18</v>
      </c>
      <c r="F191" s="262"/>
      <c r="G191" s="3" t="s">
        <v>19</v>
      </c>
      <c r="H191" s="3"/>
    </row>
    <row r="192" spans="2:8" ht="17.25" customHeight="1">
      <c r="B192" s="280"/>
      <c r="C192" s="273"/>
      <c r="D192" s="274"/>
      <c r="E192" s="273"/>
      <c r="F192" s="274"/>
      <c r="G192" s="3" t="s">
        <v>20</v>
      </c>
      <c r="H192" s="3" t="s">
        <v>21</v>
      </c>
    </row>
    <row r="193" spans="2:8" ht="17.25" customHeight="1">
      <c r="B193" s="281"/>
      <c r="C193" s="275"/>
      <c r="D193" s="276"/>
      <c r="E193" s="275"/>
      <c r="F193" s="276"/>
      <c r="G193" s="3" t="s">
        <v>22</v>
      </c>
      <c r="H193" s="3"/>
    </row>
    <row r="194" spans="2:8" ht="25.8" customHeight="1">
      <c r="B194" s="279" t="s">
        <v>23</v>
      </c>
      <c r="C194" s="283" t="s">
        <v>24</v>
      </c>
      <c r="D194" s="272" t="s">
        <v>25</v>
      </c>
      <c r="E194" s="3" t="s">
        <v>26</v>
      </c>
      <c r="F194" s="3"/>
      <c r="G194" s="3" t="s">
        <v>27</v>
      </c>
      <c r="H194" s="3">
        <v>18</v>
      </c>
    </row>
    <row r="195" spans="2:8" ht="27.6" customHeight="1">
      <c r="B195" s="281"/>
      <c r="C195" s="275"/>
      <c r="D195" s="281"/>
      <c r="E195" s="3" t="s">
        <v>28</v>
      </c>
      <c r="F195" s="3" t="s">
        <v>29</v>
      </c>
      <c r="G195" s="3" t="s">
        <v>30</v>
      </c>
      <c r="H195" s="12" t="s">
        <v>31</v>
      </c>
    </row>
    <row r="198" spans="2:8" ht="61.2" customHeight="1">
      <c r="B198" s="7"/>
      <c r="C198" s="282" t="s">
        <v>35</v>
      </c>
      <c r="D198" s="269"/>
      <c r="E198" s="269"/>
      <c r="F198" s="269"/>
      <c r="G198" s="269"/>
      <c r="H198" s="262"/>
    </row>
    <row r="199" spans="2:8" ht="31.8" customHeight="1">
      <c r="B199" s="8"/>
      <c r="C199" s="277" t="s">
        <v>1</v>
      </c>
      <c r="D199" s="253"/>
      <c r="E199" s="253"/>
      <c r="F199" s="253"/>
      <c r="G199" s="253"/>
      <c r="H199" s="254"/>
    </row>
    <row r="200" spans="2:8" ht="18.75" customHeight="1">
      <c r="B200" s="9" t="s">
        <v>2</v>
      </c>
      <c r="C200" s="285" t="s">
        <v>3</v>
      </c>
      <c r="D200" s="265"/>
      <c r="E200" s="265"/>
      <c r="F200" s="265"/>
      <c r="G200" s="265"/>
      <c r="H200" s="276"/>
    </row>
    <row r="201" spans="2:8" ht="32.25" customHeight="1">
      <c r="B201" s="1" t="s">
        <v>4</v>
      </c>
      <c r="C201" s="271" t="s">
        <v>5</v>
      </c>
      <c r="D201" s="253"/>
      <c r="E201" s="253"/>
      <c r="F201" s="253"/>
      <c r="G201" s="253"/>
      <c r="H201" s="254"/>
    </row>
    <row r="202" spans="2:8" ht="32.4" customHeight="1">
      <c r="B202" s="1" t="s">
        <v>6</v>
      </c>
      <c r="C202" s="278" t="s">
        <v>7</v>
      </c>
      <c r="D202" s="254"/>
      <c r="E202" s="11" t="s">
        <v>8</v>
      </c>
      <c r="F202" s="271" t="s">
        <v>9</v>
      </c>
      <c r="G202" s="253"/>
      <c r="H202" s="254"/>
    </row>
    <row r="203" spans="2:8" ht="88.95" customHeight="1">
      <c r="B203" s="1" t="s">
        <v>10</v>
      </c>
      <c r="C203" s="278" t="s">
        <v>59</v>
      </c>
      <c r="D203" s="253"/>
      <c r="E203" s="253"/>
      <c r="F203" s="253"/>
      <c r="G203" s="253"/>
      <c r="H203" s="254"/>
    </row>
    <row r="204" spans="2:8" ht="28.2" customHeight="1">
      <c r="B204" s="1" t="s">
        <v>12</v>
      </c>
      <c r="C204" s="272" t="s">
        <v>60</v>
      </c>
      <c r="D204" s="253"/>
      <c r="E204" s="253"/>
      <c r="F204" s="253"/>
      <c r="G204" s="253"/>
      <c r="H204" s="254"/>
    </row>
    <row r="205" spans="2:8" ht="25.2" customHeight="1">
      <c r="B205" s="1" t="s">
        <v>14</v>
      </c>
      <c r="C205" s="284">
        <v>46074</v>
      </c>
      <c r="D205" s="254"/>
      <c r="E205" s="3" t="s">
        <v>15</v>
      </c>
      <c r="F205" s="284">
        <v>46080</v>
      </c>
      <c r="G205" s="253"/>
      <c r="H205" s="254"/>
    </row>
    <row r="206" spans="2:8" ht="22.5" customHeight="1">
      <c r="B206" s="279" t="s">
        <v>16</v>
      </c>
      <c r="C206" s="272" t="s">
        <v>17</v>
      </c>
      <c r="D206" s="262"/>
      <c r="E206" s="272" t="s">
        <v>18</v>
      </c>
      <c r="F206" s="262"/>
      <c r="G206" s="3" t="s">
        <v>19</v>
      </c>
      <c r="H206" s="3"/>
    </row>
    <row r="207" spans="2:8" ht="17.25" customHeight="1">
      <c r="B207" s="280"/>
      <c r="C207" s="273"/>
      <c r="D207" s="274"/>
      <c r="E207" s="273"/>
      <c r="F207" s="274"/>
      <c r="G207" s="3" t="s">
        <v>20</v>
      </c>
      <c r="H207" s="3" t="s">
        <v>21</v>
      </c>
    </row>
    <row r="208" spans="2:8" ht="17.25" customHeight="1">
      <c r="B208" s="281"/>
      <c r="C208" s="275"/>
      <c r="D208" s="276"/>
      <c r="E208" s="275"/>
      <c r="F208" s="276"/>
      <c r="G208" s="3" t="s">
        <v>22</v>
      </c>
      <c r="H208" s="3"/>
    </row>
    <row r="209" spans="2:8" ht="25.8" customHeight="1">
      <c r="B209" s="279" t="s">
        <v>23</v>
      </c>
      <c r="C209" s="283" t="s">
        <v>24</v>
      </c>
      <c r="D209" s="272" t="s">
        <v>25</v>
      </c>
      <c r="E209" s="3" t="s">
        <v>26</v>
      </c>
      <c r="F209" s="3"/>
      <c r="G209" s="3" t="s">
        <v>27</v>
      </c>
      <c r="H209" s="3">
        <v>21</v>
      </c>
    </row>
    <row r="210" spans="2:8" ht="27.6" customHeight="1">
      <c r="B210" s="281"/>
      <c r="C210" s="275"/>
      <c r="D210" s="281"/>
      <c r="E210" s="3" t="s">
        <v>28</v>
      </c>
      <c r="F210" s="3" t="s">
        <v>29</v>
      </c>
      <c r="G210" s="3" t="s">
        <v>30</v>
      </c>
      <c r="H210" s="12" t="s">
        <v>31</v>
      </c>
    </row>
    <row r="213" spans="2:8" ht="61.2" customHeight="1">
      <c r="B213" s="7"/>
      <c r="C213" s="282" t="s">
        <v>35</v>
      </c>
      <c r="D213" s="269"/>
      <c r="E213" s="269"/>
      <c r="F213" s="269"/>
      <c r="G213" s="269"/>
      <c r="H213" s="262"/>
    </row>
    <row r="214" spans="2:8" ht="31.8" customHeight="1">
      <c r="B214" s="8"/>
      <c r="C214" s="277" t="s">
        <v>1</v>
      </c>
      <c r="D214" s="253"/>
      <c r="E214" s="253"/>
      <c r="F214" s="253"/>
      <c r="G214" s="253"/>
      <c r="H214" s="254"/>
    </row>
    <row r="215" spans="2:8" ht="18.75" customHeight="1">
      <c r="B215" s="9" t="s">
        <v>2</v>
      </c>
      <c r="C215" s="285" t="s">
        <v>3</v>
      </c>
      <c r="D215" s="265"/>
      <c r="E215" s="265"/>
      <c r="F215" s="265"/>
      <c r="G215" s="265"/>
      <c r="H215" s="276"/>
    </row>
    <row r="216" spans="2:8" ht="32.25" customHeight="1">
      <c r="B216" s="1" t="s">
        <v>4</v>
      </c>
      <c r="C216" s="271" t="s">
        <v>5</v>
      </c>
      <c r="D216" s="253"/>
      <c r="E216" s="253"/>
      <c r="F216" s="253"/>
      <c r="G216" s="253"/>
      <c r="H216" s="254"/>
    </row>
    <row r="217" spans="2:8" ht="32.4" customHeight="1">
      <c r="B217" s="1" t="s">
        <v>6</v>
      </c>
      <c r="C217" s="278" t="s">
        <v>7</v>
      </c>
      <c r="D217" s="254"/>
      <c r="E217" s="11" t="s">
        <v>8</v>
      </c>
      <c r="F217" s="271" t="s">
        <v>9</v>
      </c>
      <c r="G217" s="253"/>
      <c r="H217" s="254"/>
    </row>
    <row r="218" spans="2:8" ht="88.95" customHeight="1">
      <c r="B218" s="1" t="s">
        <v>10</v>
      </c>
      <c r="C218" s="278" t="s">
        <v>61</v>
      </c>
      <c r="D218" s="253"/>
      <c r="E218" s="253"/>
      <c r="F218" s="253"/>
      <c r="G218" s="253"/>
      <c r="H218" s="254"/>
    </row>
    <row r="219" spans="2:8" ht="28.2" customHeight="1">
      <c r="B219" s="1" t="s">
        <v>12</v>
      </c>
      <c r="C219" s="272" t="s">
        <v>62</v>
      </c>
      <c r="D219" s="253"/>
      <c r="E219" s="253"/>
      <c r="F219" s="253"/>
      <c r="G219" s="253"/>
      <c r="H219" s="254"/>
    </row>
    <row r="220" spans="2:8" ht="25.2" customHeight="1">
      <c r="B220" s="1" t="s">
        <v>14</v>
      </c>
      <c r="C220" s="284">
        <v>46078</v>
      </c>
      <c r="D220" s="254"/>
      <c r="E220" s="3" t="s">
        <v>15</v>
      </c>
      <c r="F220" s="284">
        <v>46093</v>
      </c>
      <c r="G220" s="253"/>
      <c r="H220" s="254"/>
    </row>
    <row r="221" spans="2:8" ht="22.5" customHeight="1">
      <c r="B221" s="279" t="s">
        <v>16</v>
      </c>
      <c r="C221" s="272" t="s">
        <v>17</v>
      </c>
      <c r="D221" s="262"/>
      <c r="E221" s="272" t="s">
        <v>18</v>
      </c>
      <c r="F221" s="262"/>
      <c r="G221" s="3" t="s">
        <v>19</v>
      </c>
      <c r="H221" s="3"/>
    </row>
    <row r="222" spans="2:8" ht="17.25" customHeight="1">
      <c r="B222" s="280"/>
      <c r="C222" s="273"/>
      <c r="D222" s="274"/>
      <c r="E222" s="273"/>
      <c r="F222" s="274"/>
      <c r="G222" s="3" t="s">
        <v>20</v>
      </c>
      <c r="H222" s="3" t="s">
        <v>21</v>
      </c>
    </row>
    <row r="223" spans="2:8" ht="17.25" customHeight="1">
      <c r="B223" s="281"/>
      <c r="C223" s="275"/>
      <c r="D223" s="276"/>
      <c r="E223" s="275"/>
      <c r="F223" s="276"/>
      <c r="G223" s="3" t="s">
        <v>22</v>
      </c>
      <c r="H223" s="3"/>
    </row>
    <row r="224" spans="2:8" ht="25.8" customHeight="1">
      <c r="B224" s="279" t="s">
        <v>23</v>
      </c>
      <c r="C224" s="283" t="s">
        <v>24</v>
      </c>
      <c r="D224" s="272" t="s">
        <v>25</v>
      </c>
      <c r="E224" s="3" t="s">
        <v>26</v>
      </c>
      <c r="F224" s="3"/>
      <c r="G224" s="3" t="s">
        <v>27</v>
      </c>
      <c r="H224" s="3">
        <v>19</v>
      </c>
    </row>
    <row r="225" spans="2:8" ht="27.6" customHeight="1">
      <c r="B225" s="281"/>
      <c r="C225" s="275"/>
      <c r="D225" s="281"/>
      <c r="E225" s="3" t="s">
        <v>28</v>
      </c>
      <c r="F225" s="3" t="s">
        <v>29</v>
      </c>
      <c r="G225" s="3" t="s">
        <v>30</v>
      </c>
      <c r="H225" s="12" t="s">
        <v>31</v>
      </c>
    </row>
    <row r="228" spans="2:8" ht="61.2" customHeight="1">
      <c r="B228" s="7"/>
      <c r="C228" s="282" t="s">
        <v>35</v>
      </c>
      <c r="D228" s="269"/>
      <c r="E228" s="269"/>
      <c r="F228" s="269"/>
      <c r="G228" s="269"/>
      <c r="H228" s="262"/>
    </row>
    <row r="229" spans="2:8" ht="31.8" customHeight="1">
      <c r="B229" s="8"/>
      <c r="C229" s="277" t="s">
        <v>1</v>
      </c>
      <c r="D229" s="253"/>
      <c r="E229" s="253"/>
      <c r="F229" s="253"/>
      <c r="G229" s="253"/>
      <c r="H229" s="254"/>
    </row>
    <row r="230" spans="2:8" ht="18.75" customHeight="1">
      <c r="B230" s="9" t="s">
        <v>2</v>
      </c>
      <c r="C230" s="285" t="s">
        <v>3</v>
      </c>
      <c r="D230" s="265"/>
      <c r="E230" s="265"/>
      <c r="F230" s="265"/>
      <c r="G230" s="265"/>
      <c r="H230" s="276"/>
    </row>
    <row r="231" spans="2:8" ht="32.25" customHeight="1">
      <c r="B231" s="1" t="s">
        <v>4</v>
      </c>
      <c r="C231" s="271" t="s">
        <v>5</v>
      </c>
      <c r="D231" s="253"/>
      <c r="E231" s="253"/>
      <c r="F231" s="253"/>
      <c r="G231" s="253"/>
      <c r="H231" s="254"/>
    </row>
    <row r="232" spans="2:8" ht="32.4" customHeight="1">
      <c r="B232" s="1" t="s">
        <v>6</v>
      </c>
      <c r="C232" s="278" t="s">
        <v>7</v>
      </c>
      <c r="D232" s="254"/>
      <c r="E232" s="11" t="s">
        <v>8</v>
      </c>
      <c r="F232" s="271" t="s">
        <v>9</v>
      </c>
      <c r="G232" s="253"/>
      <c r="H232" s="254"/>
    </row>
    <row r="233" spans="2:8" ht="88.95" customHeight="1">
      <c r="B233" s="1" t="s">
        <v>10</v>
      </c>
      <c r="C233" s="278" t="s">
        <v>63</v>
      </c>
      <c r="D233" s="253"/>
      <c r="E233" s="253"/>
      <c r="F233" s="253"/>
      <c r="G233" s="253"/>
      <c r="H233" s="254"/>
    </row>
    <row r="234" spans="2:8" ht="28.2" customHeight="1">
      <c r="B234" s="1" t="s">
        <v>12</v>
      </c>
      <c r="C234" s="272" t="s">
        <v>64</v>
      </c>
      <c r="D234" s="253"/>
      <c r="E234" s="253"/>
      <c r="F234" s="253"/>
      <c r="G234" s="253"/>
      <c r="H234" s="254"/>
    </row>
    <row r="235" spans="2:8" ht="25.2" customHeight="1">
      <c r="B235" s="1" t="s">
        <v>14</v>
      </c>
      <c r="C235" s="284">
        <v>46081</v>
      </c>
      <c r="D235" s="254"/>
      <c r="E235" s="3" t="s">
        <v>15</v>
      </c>
      <c r="F235" s="284">
        <v>46101</v>
      </c>
      <c r="G235" s="253"/>
      <c r="H235" s="254"/>
    </row>
    <row r="236" spans="2:8" ht="22.5" customHeight="1">
      <c r="B236" s="279" t="s">
        <v>16</v>
      </c>
      <c r="C236" s="272" t="s">
        <v>17</v>
      </c>
      <c r="D236" s="262"/>
      <c r="E236" s="272" t="s">
        <v>18</v>
      </c>
      <c r="F236" s="262"/>
      <c r="G236" s="3" t="s">
        <v>19</v>
      </c>
      <c r="H236" s="3"/>
    </row>
    <row r="237" spans="2:8" ht="17.25" customHeight="1">
      <c r="B237" s="280"/>
      <c r="C237" s="273"/>
      <c r="D237" s="274"/>
      <c r="E237" s="273"/>
      <c r="F237" s="274"/>
      <c r="G237" s="3" t="s">
        <v>20</v>
      </c>
      <c r="H237" s="3" t="s">
        <v>21</v>
      </c>
    </row>
    <row r="238" spans="2:8" ht="17.25" customHeight="1">
      <c r="B238" s="281"/>
      <c r="C238" s="275"/>
      <c r="D238" s="276"/>
      <c r="E238" s="275"/>
      <c r="F238" s="276"/>
      <c r="G238" s="3" t="s">
        <v>22</v>
      </c>
      <c r="H238" s="3"/>
    </row>
    <row r="239" spans="2:8" ht="25.8" customHeight="1">
      <c r="B239" s="279" t="s">
        <v>23</v>
      </c>
      <c r="C239" s="283" t="s">
        <v>24</v>
      </c>
      <c r="D239" s="272" t="s">
        <v>25</v>
      </c>
      <c r="E239" s="3" t="s">
        <v>26</v>
      </c>
      <c r="F239" s="3"/>
      <c r="G239" s="3" t="s">
        <v>27</v>
      </c>
      <c r="H239" s="3">
        <v>17</v>
      </c>
    </row>
    <row r="240" spans="2:8" ht="27.6" customHeight="1">
      <c r="B240" s="281"/>
      <c r="C240" s="275"/>
      <c r="D240" s="281"/>
      <c r="E240" s="3" t="s">
        <v>28</v>
      </c>
      <c r="F240" s="3" t="s">
        <v>29</v>
      </c>
      <c r="G240" s="3" t="s">
        <v>30</v>
      </c>
      <c r="H240" s="12" t="s">
        <v>31</v>
      </c>
    </row>
    <row r="243" spans="2:8" ht="61.2" customHeight="1">
      <c r="B243" s="7"/>
      <c r="C243" s="282" t="s">
        <v>35</v>
      </c>
      <c r="D243" s="269"/>
      <c r="E243" s="269"/>
      <c r="F243" s="269"/>
      <c r="G243" s="269"/>
      <c r="H243" s="262"/>
    </row>
    <row r="244" spans="2:8" ht="31.8" customHeight="1">
      <c r="B244" s="8"/>
      <c r="C244" s="277" t="s">
        <v>1</v>
      </c>
      <c r="D244" s="253"/>
      <c r="E244" s="253"/>
      <c r="F244" s="253"/>
      <c r="G244" s="253"/>
      <c r="H244" s="254"/>
    </row>
    <row r="245" spans="2:8" ht="18.75" customHeight="1">
      <c r="B245" s="9" t="s">
        <v>2</v>
      </c>
      <c r="C245" s="285" t="s">
        <v>3</v>
      </c>
      <c r="D245" s="265"/>
      <c r="E245" s="265"/>
      <c r="F245" s="265"/>
      <c r="G245" s="265"/>
      <c r="H245" s="276"/>
    </row>
    <row r="246" spans="2:8" ht="32.25" customHeight="1">
      <c r="B246" s="1" t="s">
        <v>4</v>
      </c>
      <c r="C246" s="271" t="s">
        <v>5</v>
      </c>
      <c r="D246" s="253"/>
      <c r="E246" s="253"/>
      <c r="F246" s="253"/>
      <c r="G246" s="253"/>
      <c r="H246" s="254"/>
    </row>
    <row r="247" spans="2:8" ht="32.4" customHeight="1">
      <c r="B247" s="1" t="s">
        <v>6</v>
      </c>
      <c r="C247" s="278" t="s">
        <v>7</v>
      </c>
      <c r="D247" s="254"/>
      <c r="E247" s="11" t="s">
        <v>8</v>
      </c>
      <c r="F247" s="271" t="s">
        <v>9</v>
      </c>
      <c r="G247" s="253"/>
      <c r="H247" s="254"/>
    </row>
    <row r="248" spans="2:8" ht="88.95" customHeight="1">
      <c r="B248" s="1" t="s">
        <v>10</v>
      </c>
      <c r="C248" s="278" t="s">
        <v>65</v>
      </c>
      <c r="D248" s="253"/>
      <c r="E248" s="253"/>
      <c r="F248" s="253"/>
      <c r="G248" s="253"/>
      <c r="H248" s="254"/>
    </row>
    <row r="249" spans="2:8" ht="28.2" customHeight="1">
      <c r="B249" s="1" t="s">
        <v>12</v>
      </c>
      <c r="C249" s="272" t="s">
        <v>66</v>
      </c>
      <c r="D249" s="253"/>
      <c r="E249" s="253"/>
      <c r="F249" s="253"/>
      <c r="G249" s="253"/>
      <c r="H249" s="254"/>
    </row>
    <row r="250" spans="2:8" ht="25.2" customHeight="1">
      <c r="B250" s="1" t="s">
        <v>14</v>
      </c>
      <c r="C250" s="284">
        <v>46087</v>
      </c>
      <c r="D250" s="254"/>
      <c r="E250" s="3" t="s">
        <v>15</v>
      </c>
      <c r="F250" s="284">
        <v>46093</v>
      </c>
      <c r="G250" s="253"/>
      <c r="H250" s="254"/>
    </row>
    <row r="251" spans="2:8" ht="22.5" customHeight="1">
      <c r="B251" s="279" t="s">
        <v>16</v>
      </c>
      <c r="C251" s="272" t="s">
        <v>17</v>
      </c>
      <c r="D251" s="262"/>
      <c r="E251" s="272" t="s">
        <v>18</v>
      </c>
      <c r="F251" s="262"/>
      <c r="G251" s="3" t="s">
        <v>19</v>
      </c>
      <c r="H251" s="3"/>
    </row>
    <row r="252" spans="2:8" ht="17.25" customHeight="1">
      <c r="B252" s="280"/>
      <c r="C252" s="273"/>
      <c r="D252" s="274"/>
      <c r="E252" s="273"/>
      <c r="F252" s="274"/>
      <c r="G252" s="3" t="s">
        <v>20</v>
      </c>
      <c r="H252" s="3" t="s">
        <v>21</v>
      </c>
    </row>
    <row r="253" spans="2:8" ht="17.25" customHeight="1">
      <c r="B253" s="281"/>
      <c r="C253" s="275"/>
      <c r="D253" s="276"/>
      <c r="E253" s="275"/>
      <c r="F253" s="276"/>
      <c r="G253" s="3" t="s">
        <v>22</v>
      </c>
      <c r="H253" s="3"/>
    </row>
    <row r="254" spans="2:8" ht="25.8" customHeight="1">
      <c r="B254" s="279" t="s">
        <v>23</v>
      </c>
      <c r="C254" s="283" t="s">
        <v>24</v>
      </c>
      <c r="D254" s="272" t="s">
        <v>25</v>
      </c>
      <c r="E254" s="3" t="s">
        <v>26</v>
      </c>
      <c r="F254" s="3"/>
      <c r="G254" s="3" t="s">
        <v>27</v>
      </c>
      <c r="H254" s="3">
        <v>22</v>
      </c>
    </row>
    <row r="255" spans="2:8" ht="27.6" customHeight="1">
      <c r="B255" s="281"/>
      <c r="C255" s="275"/>
      <c r="D255" s="281"/>
      <c r="E255" s="3" t="s">
        <v>28</v>
      </c>
      <c r="F255" s="3" t="s">
        <v>29</v>
      </c>
      <c r="G255" s="3" t="s">
        <v>30</v>
      </c>
      <c r="H255" s="12" t="s">
        <v>31</v>
      </c>
    </row>
    <row r="258" spans="2:8" ht="61.2" customHeight="1">
      <c r="B258" s="7"/>
      <c r="C258" s="282" t="s">
        <v>35</v>
      </c>
      <c r="D258" s="269"/>
      <c r="E258" s="269"/>
      <c r="F258" s="269"/>
      <c r="G258" s="269"/>
      <c r="H258" s="262"/>
    </row>
    <row r="259" spans="2:8" ht="31.8" customHeight="1">
      <c r="B259" s="8"/>
      <c r="C259" s="277" t="s">
        <v>1</v>
      </c>
      <c r="D259" s="253"/>
      <c r="E259" s="253"/>
      <c r="F259" s="253"/>
      <c r="G259" s="253"/>
      <c r="H259" s="254"/>
    </row>
    <row r="260" spans="2:8" ht="18.75" customHeight="1">
      <c r="B260" s="9" t="s">
        <v>2</v>
      </c>
      <c r="C260" s="285" t="s">
        <v>3</v>
      </c>
      <c r="D260" s="265"/>
      <c r="E260" s="265"/>
      <c r="F260" s="265"/>
      <c r="G260" s="265"/>
      <c r="H260" s="276"/>
    </row>
    <row r="261" spans="2:8" ht="32.25" customHeight="1">
      <c r="B261" s="1" t="s">
        <v>4</v>
      </c>
      <c r="C261" s="271" t="s">
        <v>5</v>
      </c>
      <c r="D261" s="253"/>
      <c r="E261" s="253"/>
      <c r="F261" s="253"/>
      <c r="G261" s="253"/>
      <c r="H261" s="254"/>
    </row>
    <row r="262" spans="2:8" ht="32.4" customHeight="1">
      <c r="B262" s="1" t="s">
        <v>6</v>
      </c>
      <c r="C262" s="278" t="s">
        <v>7</v>
      </c>
      <c r="D262" s="254"/>
      <c r="E262" s="11" t="s">
        <v>8</v>
      </c>
      <c r="F262" s="271" t="s">
        <v>9</v>
      </c>
      <c r="G262" s="253"/>
      <c r="H262" s="254"/>
    </row>
    <row r="263" spans="2:8" ht="88.95" customHeight="1">
      <c r="B263" s="1" t="s">
        <v>10</v>
      </c>
      <c r="C263" s="278" t="s">
        <v>67</v>
      </c>
      <c r="D263" s="253"/>
      <c r="E263" s="253"/>
      <c r="F263" s="253"/>
      <c r="G263" s="253"/>
      <c r="H263" s="254"/>
    </row>
    <row r="264" spans="2:8" ht="28.2" customHeight="1">
      <c r="B264" s="1" t="s">
        <v>12</v>
      </c>
      <c r="C264" s="272" t="s">
        <v>68</v>
      </c>
      <c r="D264" s="253"/>
      <c r="E264" s="253"/>
      <c r="F264" s="253"/>
      <c r="G264" s="253"/>
      <c r="H264" s="254"/>
    </row>
    <row r="265" spans="2:8" ht="25.2" customHeight="1">
      <c r="B265" s="1" t="s">
        <v>14</v>
      </c>
      <c r="C265" s="284">
        <v>46091</v>
      </c>
      <c r="D265" s="254"/>
      <c r="E265" s="3" t="s">
        <v>15</v>
      </c>
      <c r="F265" s="284">
        <v>46093</v>
      </c>
      <c r="G265" s="253"/>
      <c r="H265" s="254"/>
    </row>
    <row r="266" spans="2:8" ht="22.5" customHeight="1">
      <c r="B266" s="279" t="s">
        <v>16</v>
      </c>
      <c r="C266" s="272" t="s">
        <v>17</v>
      </c>
      <c r="D266" s="262"/>
      <c r="E266" s="272" t="s">
        <v>18</v>
      </c>
      <c r="F266" s="262"/>
      <c r="G266" s="3" t="s">
        <v>19</v>
      </c>
      <c r="H266" s="3"/>
    </row>
    <row r="267" spans="2:8" ht="17.25" customHeight="1">
      <c r="B267" s="280"/>
      <c r="C267" s="273"/>
      <c r="D267" s="274"/>
      <c r="E267" s="273"/>
      <c r="F267" s="274"/>
      <c r="G267" s="3" t="s">
        <v>20</v>
      </c>
      <c r="H267" s="3" t="s">
        <v>21</v>
      </c>
    </row>
    <row r="268" spans="2:8" ht="17.25" customHeight="1">
      <c r="B268" s="281"/>
      <c r="C268" s="275"/>
      <c r="D268" s="276"/>
      <c r="E268" s="275"/>
      <c r="F268" s="276"/>
      <c r="G268" s="3" t="s">
        <v>22</v>
      </c>
      <c r="H268" s="3"/>
    </row>
    <row r="269" spans="2:8" ht="25.8" customHeight="1">
      <c r="B269" s="279" t="s">
        <v>23</v>
      </c>
      <c r="C269" s="283" t="s">
        <v>24</v>
      </c>
      <c r="D269" s="272" t="s">
        <v>25</v>
      </c>
      <c r="E269" s="3" t="s">
        <v>26</v>
      </c>
      <c r="F269" s="3"/>
      <c r="G269" s="3" t="s">
        <v>27</v>
      </c>
      <c r="H269" s="13">
        <v>21</v>
      </c>
    </row>
    <row r="270" spans="2:8" ht="27.6" customHeight="1">
      <c r="B270" s="281"/>
      <c r="C270" s="275"/>
      <c r="D270" s="281"/>
      <c r="E270" s="3" t="s">
        <v>28</v>
      </c>
      <c r="F270" s="3" t="s">
        <v>29</v>
      </c>
      <c r="G270" s="3" t="s">
        <v>30</v>
      </c>
      <c r="H270" s="12" t="s">
        <v>31</v>
      </c>
    </row>
    <row r="273" spans="2:8" ht="61.2" customHeight="1">
      <c r="B273" s="7"/>
      <c r="C273" s="282" t="s">
        <v>35</v>
      </c>
      <c r="D273" s="269"/>
      <c r="E273" s="269"/>
      <c r="F273" s="269"/>
      <c r="G273" s="269"/>
      <c r="H273" s="262"/>
    </row>
    <row r="274" spans="2:8" ht="31.8" customHeight="1">
      <c r="B274" s="8"/>
      <c r="C274" s="277" t="s">
        <v>1</v>
      </c>
      <c r="D274" s="253"/>
      <c r="E274" s="253"/>
      <c r="F274" s="253"/>
      <c r="G274" s="253"/>
      <c r="H274" s="254"/>
    </row>
    <row r="275" spans="2:8" ht="18.75" customHeight="1">
      <c r="B275" s="9" t="s">
        <v>2</v>
      </c>
      <c r="C275" s="285" t="s">
        <v>3</v>
      </c>
      <c r="D275" s="265"/>
      <c r="E275" s="265"/>
      <c r="F275" s="265"/>
      <c r="G275" s="265"/>
      <c r="H275" s="276"/>
    </row>
    <row r="276" spans="2:8" ht="32.25" customHeight="1">
      <c r="B276" s="1" t="s">
        <v>4</v>
      </c>
      <c r="C276" s="271" t="s">
        <v>5</v>
      </c>
      <c r="D276" s="253"/>
      <c r="E276" s="253"/>
      <c r="F276" s="253"/>
      <c r="G276" s="253"/>
      <c r="H276" s="254"/>
    </row>
    <row r="277" spans="2:8" ht="32.4" customHeight="1">
      <c r="B277" s="1" t="s">
        <v>6</v>
      </c>
      <c r="C277" s="278" t="s">
        <v>7</v>
      </c>
      <c r="D277" s="254"/>
      <c r="E277" s="11" t="s">
        <v>8</v>
      </c>
      <c r="F277" s="271" t="s">
        <v>9</v>
      </c>
      <c r="G277" s="253"/>
      <c r="H277" s="254"/>
    </row>
    <row r="278" spans="2:8" ht="88.95" customHeight="1">
      <c r="B278" s="1" t="s">
        <v>10</v>
      </c>
      <c r="C278" s="278" t="s">
        <v>69</v>
      </c>
      <c r="D278" s="253"/>
      <c r="E278" s="253"/>
      <c r="F278" s="253"/>
      <c r="G278" s="253"/>
      <c r="H278" s="254"/>
    </row>
    <row r="279" spans="2:8" ht="28.2" customHeight="1">
      <c r="B279" s="1" t="s">
        <v>12</v>
      </c>
      <c r="C279" s="272" t="s">
        <v>70</v>
      </c>
      <c r="D279" s="253"/>
      <c r="E279" s="253"/>
      <c r="F279" s="253"/>
      <c r="G279" s="253"/>
      <c r="H279" s="254"/>
    </row>
    <row r="280" spans="2:8" ht="25.2" customHeight="1">
      <c r="B280" s="1" t="s">
        <v>14</v>
      </c>
      <c r="C280" s="284">
        <v>46094</v>
      </c>
      <c r="D280" s="254"/>
      <c r="E280" s="3" t="s">
        <v>15</v>
      </c>
      <c r="F280" s="284">
        <v>46100</v>
      </c>
      <c r="G280" s="253"/>
      <c r="H280" s="254"/>
    </row>
    <row r="281" spans="2:8" ht="22.5" customHeight="1">
      <c r="B281" s="279" t="s">
        <v>16</v>
      </c>
      <c r="C281" s="272" t="s">
        <v>17</v>
      </c>
      <c r="D281" s="262"/>
      <c r="E281" s="272" t="s">
        <v>18</v>
      </c>
      <c r="F281" s="262"/>
      <c r="G281" s="3" t="s">
        <v>19</v>
      </c>
      <c r="H281" s="3"/>
    </row>
    <row r="282" spans="2:8" ht="17.25" customHeight="1">
      <c r="B282" s="280"/>
      <c r="C282" s="273"/>
      <c r="D282" s="274"/>
      <c r="E282" s="273"/>
      <c r="F282" s="274"/>
      <c r="G282" s="3" t="s">
        <v>20</v>
      </c>
      <c r="H282" s="3" t="s">
        <v>21</v>
      </c>
    </row>
    <row r="283" spans="2:8" ht="17.25" customHeight="1">
      <c r="B283" s="281"/>
      <c r="C283" s="275"/>
      <c r="D283" s="276"/>
      <c r="E283" s="275"/>
      <c r="F283" s="276"/>
      <c r="G283" s="3" t="s">
        <v>22</v>
      </c>
      <c r="H283" s="3"/>
    </row>
    <row r="284" spans="2:8" ht="25.8" customHeight="1">
      <c r="B284" s="279" t="s">
        <v>23</v>
      </c>
      <c r="C284" s="283" t="s">
        <v>24</v>
      </c>
      <c r="D284" s="272" t="s">
        <v>25</v>
      </c>
      <c r="E284" s="3" t="s">
        <v>26</v>
      </c>
      <c r="F284" s="3"/>
      <c r="G284" s="3" t="s">
        <v>27</v>
      </c>
      <c r="H284" s="13">
        <v>16</v>
      </c>
    </row>
    <row r="285" spans="2:8" ht="27.6" customHeight="1">
      <c r="B285" s="281"/>
      <c r="C285" s="275"/>
      <c r="D285" s="281"/>
      <c r="E285" s="3" t="s">
        <v>28</v>
      </c>
      <c r="F285" s="3" t="s">
        <v>29</v>
      </c>
      <c r="G285" s="3" t="s">
        <v>30</v>
      </c>
      <c r="H285" s="12" t="s">
        <v>31</v>
      </c>
    </row>
    <row r="288" spans="2:8" ht="61.2" customHeight="1">
      <c r="B288" s="7"/>
      <c r="C288" s="282" t="s">
        <v>35</v>
      </c>
      <c r="D288" s="269"/>
      <c r="E288" s="269"/>
      <c r="F288" s="269"/>
      <c r="G288" s="269"/>
      <c r="H288" s="262"/>
    </row>
    <row r="289" spans="2:8" ht="31.8" customHeight="1">
      <c r="B289" s="8"/>
      <c r="C289" s="277" t="s">
        <v>1</v>
      </c>
      <c r="D289" s="253"/>
      <c r="E289" s="253"/>
      <c r="F289" s="253"/>
      <c r="G289" s="253"/>
      <c r="H289" s="254"/>
    </row>
    <row r="290" spans="2:8" ht="18.75" customHeight="1">
      <c r="B290" s="9" t="s">
        <v>2</v>
      </c>
      <c r="C290" s="285" t="s">
        <v>3</v>
      </c>
      <c r="D290" s="265"/>
      <c r="E290" s="265"/>
      <c r="F290" s="265"/>
      <c r="G290" s="265"/>
      <c r="H290" s="276"/>
    </row>
    <row r="291" spans="2:8" ht="32.25" customHeight="1">
      <c r="B291" s="1" t="s">
        <v>4</v>
      </c>
      <c r="C291" s="271" t="s">
        <v>5</v>
      </c>
      <c r="D291" s="253"/>
      <c r="E291" s="253"/>
      <c r="F291" s="253"/>
      <c r="G291" s="253"/>
      <c r="H291" s="254"/>
    </row>
    <row r="292" spans="2:8" ht="32.4" customHeight="1">
      <c r="B292" s="1" t="s">
        <v>6</v>
      </c>
      <c r="C292" s="278" t="s">
        <v>7</v>
      </c>
      <c r="D292" s="254"/>
      <c r="E292" s="11" t="s">
        <v>8</v>
      </c>
      <c r="F292" s="271" t="s">
        <v>9</v>
      </c>
      <c r="G292" s="253"/>
      <c r="H292" s="254"/>
    </row>
    <row r="293" spans="2:8" ht="88.95" customHeight="1">
      <c r="B293" s="1" t="s">
        <v>10</v>
      </c>
      <c r="C293" s="278" t="s">
        <v>71</v>
      </c>
      <c r="D293" s="253"/>
      <c r="E293" s="253"/>
      <c r="F293" s="253"/>
      <c r="G293" s="253"/>
      <c r="H293" s="254"/>
    </row>
    <row r="294" spans="2:8" ht="28.2" customHeight="1">
      <c r="B294" s="1" t="s">
        <v>12</v>
      </c>
      <c r="C294" s="272" t="s">
        <v>72</v>
      </c>
      <c r="D294" s="253"/>
      <c r="E294" s="253"/>
      <c r="F294" s="253"/>
      <c r="G294" s="253"/>
      <c r="H294" s="254"/>
    </row>
    <row r="295" spans="2:8" ht="25.2" customHeight="1">
      <c r="B295" s="1" t="s">
        <v>14</v>
      </c>
      <c r="C295" s="284">
        <v>46094</v>
      </c>
      <c r="D295" s="254"/>
      <c r="E295" s="3" t="s">
        <v>15</v>
      </c>
      <c r="F295" s="284">
        <v>46100</v>
      </c>
      <c r="G295" s="253"/>
      <c r="H295" s="254"/>
    </row>
    <row r="296" spans="2:8" ht="22.5" customHeight="1">
      <c r="B296" s="279" t="s">
        <v>16</v>
      </c>
      <c r="C296" s="272" t="s">
        <v>17</v>
      </c>
      <c r="D296" s="262"/>
      <c r="E296" s="272" t="s">
        <v>18</v>
      </c>
      <c r="F296" s="262"/>
      <c r="G296" s="3" t="s">
        <v>19</v>
      </c>
      <c r="H296" s="3"/>
    </row>
    <row r="297" spans="2:8" ht="17.25" customHeight="1">
      <c r="B297" s="280"/>
      <c r="C297" s="273"/>
      <c r="D297" s="274"/>
      <c r="E297" s="273"/>
      <c r="F297" s="274"/>
      <c r="G297" s="3" t="s">
        <v>20</v>
      </c>
      <c r="H297" s="3" t="s">
        <v>21</v>
      </c>
    </row>
    <row r="298" spans="2:8" ht="17.25" customHeight="1">
      <c r="B298" s="281"/>
      <c r="C298" s="275"/>
      <c r="D298" s="276"/>
      <c r="E298" s="275"/>
      <c r="F298" s="276"/>
      <c r="G298" s="3" t="s">
        <v>22</v>
      </c>
      <c r="H298" s="3"/>
    </row>
    <row r="299" spans="2:8" ht="25.8" customHeight="1">
      <c r="B299" s="279" t="s">
        <v>23</v>
      </c>
      <c r="C299" s="283" t="s">
        <v>24</v>
      </c>
      <c r="D299" s="272" t="s">
        <v>25</v>
      </c>
      <c r="E299" s="3" t="s">
        <v>26</v>
      </c>
      <c r="F299" s="3"/>
      <c r="G299" s="3" t="s">
        <v>27</v>
      </c>
      <c r="H299" s="13">
        <v>15</v>
      </c>
    </row>
    <row r="300" spans="2:8" ht="27.6" customHeight="1">
      <c r="B300" s="281"/>
      <c r="C300" s="275"/>
      <c r="D300" s="281"/>
      <c r="E300" s="3" t="s">
        <v>28</v>
      </c>
      <c r="F300" s="3" t="s">
        <v>29</v>
      </c>
      <c r="G300" s="3" t="s">
        <v>30</v>
      </c>
      <c r="H300" s="12" t="s">
        <v>31</v>
      </c>
    </row>
    <row r="303" spans="2:8" ht="61.2" customHeight="1">
      <c r="B303" s="7"/>
      <c r="C303" s="282" t="s">
        <v>35</v>
      </c>
      <c r="D303" s="269"/>
      <c r="E303" s="269"/>
      <c r="F303" s="269"/>
      <c r="G303" s="269"/>
      <c r="H303" s="262"/>
    </row>
    <row r="304" spans="2:8" ht="31.8" customHeight="1">
      <c r="B304" s="8"/>
      <c r="C304" s="277" t="s">
        <v>1</v>
      </c>
      <c r="D304" s="253"/>
      <c r="E304" s="253"/>
      <c r="F304" s="253"/>
      <c r="G304" s="253"/>
      <c r="H304" s="254"/>
    </row>
    <row r="305" spans="2:8" ht="18.75" customHeight="1">
      <c r="B305" s="9" t="s">
        <v>2</v>
      </c>
      <c r="C305" s="285" t="s">
        <v>3</v>
      </c>
      <c r="D305" s="265"/>
      <c r="E305" s="265"/>
      <c r="F305" s="265"/>
      <c r="G305" s="265"/>
      <c r="H305" s="276"/>
    </row>
    <row r="306" spans="2:8" ht="32.25" customHeight="1">
      <c r="B306" s="1" t="s">
        <v>4</v>
      </c>
      <c r="C306" s="271" t="s">
        <v>5</v>
      </c>
      <c r="D306" s="253"/>
      <c r="E306" s="253"/>
      <c r="F306" s="253"/>
      <c r="G306" s="253"/>
      <c r="H306" s="254"/>
    </row>
    <row r="307" spans="2:8" ht="32.4" customHeight="1">
      <c r="B307" s="1" t="s">
        <v>6</v>
      </c>
      <c r="C307" s="278" t="s">
        <v>7</v>
      </c>
      <c r="D307" s="254"/>
      <c r="E307" s="11" t="s">
        <v>8</v>
      </c>
      <c r="F307" s="271" t="s">
        <v>9</v>
      </c>
      <c r="G307" s="253"/>
      <c r="H307" s="254"/>
    </row>
    <row r="308" spans="2:8" ht="88.95" customHeight="1">
      <c r="B308" s="1" t="s">
        <v>10</v>
      </c>
      <c r="C308" s="278" t="s">
        <v>73</v>
      </c>
      <c r="D308" s="253"/>
      <c r="E308" s="253"/>
      <c r="F308" s="253"/>
      <c r="G308" s="253"/>
      <c r="H308" s="254"/>
    </row>
    <row r="309" spans="2:8" ht="28.2" customHeight="1">
      <c r="B309" s="1" t="s">
        <v>12</v>
      </c>
      <c r="C309" s="272" t="s">
        <v>74</v>
      </c>
      <c r="D309" s="253"/>
      <c r="E309" s="253"/>
      <c r="F309" s="253"/>
      <c r="G309" s="253"/>
      <c r="H309" s="254"/>
    </row>
    <row r="310" spans="2:8" ht="25.2" customHeight="1">
      <c r="B310" s="1" t="s">
        <v>14</v>
      </c>
      <c r="C310" s="284">
        <v>46095</v>
      </c>
      <c r="D310" s="254"/>
      <c r="E310" s="3" t="s">
        <v>15</v>
      </c>
      <c r="F310" s="284">
        <v>46101</v>
      </c>
      <c r="G310" s="253"/>
      <c r="H310" s="254"/>
    </row>
    <row r="311" spans="2:8" ht="22.5" customHeight="1">
      <c r="B311" s="279" t="s">
        <v>16</v>
      </c>
      <c r="C311" s="272" t="s">
        <v>17</v>
      </c>
      <c r="D311" s="262"/>
      <c r="E311" s="272" t="s">
        <v>18</v>
      </c>
      <c r="F311" s="262"/>
      <c r="G311" s="3" t="s">
        <v>19</v>
      </c>
      <c r="H311" s="3"/>
    </row>
    <row r="312" spans="2:8" ht="17.25" customHeight="1">
      <c r="B312" s="280"/>
      <c r="C312" s="273"/>
      <c r="D312" s="274"/>
      <c r="E312" s="273"/>
      <c r="F312" s="274"/>
      <c r="G312" s="3" t="s">
        <v>20</v>
      </c>
      <c r="H312" s="3" t="s">
        <v>21</v>
      </c>
    </row>
    <row r="313" spans="2:8" ht="17.25" customHeight="1">
      <c r="B313" s="281"/>
      <c r="C313" s="275"/>
      <c r="D313" s="276"/>
      <c r="E313" s="275"/>
      <c r="F313" s="276"/>
      <c r="G313" s="3" t="s">
        <v>22</v>
      </c>
      <c r="H313" s="3"/>
    </row>
    <row r="314" spans="2:8" ht="25.8" customHeight="1">
      <c r="B314" s="279" t="s">
        <v>23</v>
      </c>
      <c r="C314" s="283" t="s">
        <v>24</v>
      </c>
      <c r="D314" s="272" t="s">
        <v>25</v>
      </c>
      <c r="E314" s="3" t="s">
        <v>26</v>
      </c>
      <c r="F314" s="3"/>
      <c r="G314" s="3" t="s">
        <v>27</v>
      </c>
      <c r="H314" s="13">
        <v>20</v>
      </c>
    </row>
    <row r="315" spans="2:8" ht="27.6" customHeight="1">
      <c r="B315" s="281"/>
      <c r="C315" s="275"/>
      <c r="D315" s="281"/>
      <c r="E315" s="3" t="s">
        <v>28</v>
      </c>
      <c r="F315" s="3" t="s">
        <v>29</v>
      </c>
      <c r="G315" s="3" t="s">
        <v>30</v>
      </c>
      <c r="H315" s="12" t="s">
        <v>31</v>
      </c>
    </row>
    <row r="318" spans="2:8" ht="61.2" customHeight="1">
      <c r="B318" s="7"/>
      <c r="C318" s="282" t="s">
        <v>35</v>
      </c>
      <c r="D318" s="269"/>
      <c r="E318" s="269"/>
      <c r="F318" s="269"/>
      <c r="G318" s="269"/>
      <c r="H318" s="262"/>
    </row>
    <row r="319" spans="2:8" ht="31.8" customHeight="1">
      <c r="B319" s="8"/>
      <c r="C319" s="277" t="s">
        <v>1</v>
      </c>
      <c r="D319" s="253"/>
      <c r="E319" s="253"/>
      <c r="F319" s="253"/>
      <c r="G319" s="253"/>
      <c r="H319" s="254"/>
    </row>
    <row r="320" spans="2:8" ht="18.75" customHeight="1">
      <c r="B320" s="9" t="s">
        <v>2</v>
      </c>
      <c r="C320" s="285" t="s">
        <v>3</v>
      </c>
      <c r="D320" s="265"/>
      <c r="E320" s="265"/>
      <c r="F320" s="265"/>
      <c r="G320" s="265"/>
      <c r="H320" s="276"/>
    </row>
    <row r="321" spans="2:8" ht="32.25" customHeight="1">
      <c r="B321" s="1" t="s">
        <v>4</v>
      </c>
      <c r="C321" s="271" t="s">
        <v>5</v>
      </c>
      <c r="D321" s="253"/>
      <c r="E321" s="253"/>
      <c r="F321" s="253"/>
      <c r="G321" s="253"/>
      <c r="H321" s="254"/>
    </row>
    <row r="322" spans="2:8" ht="32.4" customHeight="1">
      <c r="B322" s="1" t="s">
        <v>6</v>
      </c>
      <c r="C322" s="278" t="s">
        <v>7</v>
      </c>
      <c r="D322" s="254"/>
      <c r="E322" s="11" t="s">
        <v>8</v>
      </c>
      <c r="F322" s="271" t="s">
        <v>9</v>
      </c>
      <c r="G322" s="253"/>
      <c r="H322" s="254"/>
    </row>
    <row r="323" spans="2:8" ht="88.95" customHeight="1">
      <c r="B323" s="1" t="s">
        <v>10</v>
      </c>
      <c r="C323" s="278" t="s">
        <v>75</v>
      </c>
      <c r="D323" s="253"/>
      <c r="E323" s="253"/>
      <c r="F323" s="253"/>
      <c r="G323" s="253"/>
      <c r="H323" s="254"/>
    </row>
    <row r="324" spans="2:8" ht="28.2" customHeight="1">
      <c r="B324" s="1" t="s">
        <v>12</v>
      </c>
      <c r="C324" s="272" t="s">
        <v>76</v>
      </c>
      <c r="D324" s="253"/>
      <c r="E324" s="253"/>
      <c r="F324" s="253"/>
      <c r="G324" s="253"/>
      <c r="H324" s="254"/>
    </row>
    <row r="325" spans="2:8" ht="25.2" customHeight="1">
      <c r="B325" s="1" t="s">
        <v>14</v>
      </c>
      <c r="C325" s="284">
        <v>46052</v>
      </c>
      <c r="D325" s="254"/>
      <c r="E325" s="3" t="s">
        <v>15</v>
      </c>
      <c r="F325" s="284">
        <v>46101</v>
      </c>
      <c r="G325" s="253"/>
      <c r="H325" s="254"/>
    </row>
    <row r="326" spans="2:8" ht="22.5" customHeight="1">
      <c r="B326" s="279" t="s">
        <v>16</v>
      </c>
      <c r="C326" s="272" t="s">
        <v>17</v>
      </c>
      <c r="D326" s="262"/>
      <c r="E326" s="272" t="s">
        <v>18</v>
      </c>
      <c r="F326" s="262"/>
      <c r="G326" s="3" t="s">
        <v>19</v>
      </c>
      <c r="H326" s="3"/>
    </row>
    <row r="327" spans="2:8" ht="17.25" customHeight="1">
      <c r="B327" s="280"/>
      <c r="C327" s="273"/>
      <c r="D327" s="274"/>
      <c r="E327" s="273"/>
      <c r="F327" s="274"/>
      <c r="G327" s="3" t="s">
        <v>20</v>
      </c>
      <c r="H327" s="3" t="s">
        <v>21</v>
      </c>
    </row>
    <row r="328" spans="2:8" ht="17.25" customHeight="1">
      <c r="B328" s="281"/>
      <c r="C328" s="275"/>
      <c r="D328" s="276"/>
      <c r="E328" s="275"/>
      <c r="F328" s="276"/>
      <c r="G328" s="3" t="s">
        <v>22</v>
      </c>
      <c r="H328" s="3"/>
    </row>
    <row r="329" spans="2:8" ht="25.8" customHeight="1">
      <c r="B329" s="279" t="s">
        <v>23</v>
      </c>
      <c r="C329" s="283" t="s">
        <v>24</v>
      </c>
      <c r="D329" s="272" t="s">
        <v>25</v>
      </c>
      <c r="E329" s="3" t="s">
        <v>26</v>
      </c>
      <c r="F329" s="3"/>
      <c r="G329" s="3" t="s">
        <v>27</v>
      </c>
      <c r="H329" s="13">
        <v>27</v>
      </c>
    </row>
    <row r="330" spans="2:8" ht="27.6" customHeight="1">
      <c r="B330" s="281"/>
      <c r="C330" s="275"/>
      <c r="D330" s="281"/>
      <c r="E330" s="3" t="s">
        <v>28</v>
      </c>
      <c r="F330" s="3" t="s">
        <v>29</v>
      </c>
      <c r="G330" s="3" t="s">
        <v>30</v>
      </c>
      <c r="H330" s="12" t="s">
        <v>31</v>
      </c>
    </row>
    <row r="333" spans="2:8" ht="61.2" customHeight="1">
      <c r="B333" s="7"/>
      <c r="C333" s="282" t="s">
        <v>35</v>
      </c>
      <c r="D333" s="269"/>
      <c r="E333" s="269"/>
      <c r="F333" s="269"/>
      <c r="G333" s="269"/>
      <c r="H333" s="262"/>
    </row>
    <row r="334" spans="2:8" ht="31.8" customHeight="1">
      <c r="B334" s="8"/>
      <c r="C334" s="277" t="s">
        <v>1</v>
      </c>
      <c r="D334" s="253"/>
      <c r="E334" s="253"/>
      <c r="F334" s="253"/>
      <c r="G334" s="253"/>
      <c r="H334" s="254"/>
    </row>
    <row r="335" spans="2:8" ht="18.75" customHeight="1">
      <c r="B335" s="9" t="s">
        <v>2</v>
      </c>
      <c r="C335" s="285" t="s">
        <v>3</v>
      </c>
      <c r="D335" s="265"/>
      <c r="E335" s="265"/>
      <c r="F335" s="265"/>
      <c r="G335" s="265"/>
      <c r="H335" s="276"/>
    </row>
    <row r="336" spans="2:8" ht="32.25" customHeight="1">
      <c r="B336" s="1" t="s">
        <v>4</v>
      </c>
      <c r="C336" s="271" t="s">
        <v>5</v>
      </c>
      <c r="D336" s="253"/>
      <c r="E336" s="253"/>
      <c r="F336" s="253"/>
      <c r="G336" s="253"/>
      <c r="H336" s="254"/>
    </row>
    <row r="337" spans="2:8" ht="32.4" customHeight="1">
      <c r="B337" s="1" t="s">
        <v>6</v>
      </c>
      <c r="C337" s="278" t="s">
        <v>7</v>
      </c>
      <c r="D337" s="254"/>
      <c r="E337" s="11" t="s">
        <v>8</v>
      </c>
      <c r="F337" s="271" t="s">
        <v>9</v>
      </c>
      <c r="G337" s="253"/>
      <c r="H337" s="254"/>
    </row>
    <row r="338" spans="2:8" ht="88.95" customHeight="1">
      <c r="B338" s="1" t="s">
        <v>10</v>
      </c>
      <c r="C338" s="278" t="s">
        <v>77</v>
      </c>
      <c r="D338" s="253"/>
      <c r="E338" s="253"/>
      <c r="F338" s="253"/>
      <c r="G338" s="253"/>
      <c r="H338" s="254"/>
    </row>
    <row r="339" spans="2:8" ht="28.2" customHeight="1">
      <c r="B339" s="1" t="s">
        <v>12</v>
      </c>
      <c r="C339" s="272" t="s">
        <v>78</v>
      </c>
      <c r="D339" s="253"/>
      <c r="E339" s="253"/>
      <c r="F339" s="253"/>
      <c r="G339" s="253"/>
      <c r="H339" s="254"/>
    </row>
    <row r="340" spans="2:8" ht="25.2" customHeight="1">
      <c r="B340" s="1" t="s">
        <v>14</v>
      </c>
      <c r="C340" s="284">
        <v>46059</v>
      </c>
      <c r="D340" s="254"/>
      <c r="E340" s="3" t="s">
        <v>15</v>
      </c>
      <c r="F340" s="284">
        <v>46106</v>
      </c>
      <c r="G340" s="253"/>
      <c r="H340" s="254"/>
    </row>
    <row r="341" spans="2:8" ht="22.5" customHeight="1">
      <c r="B341" s="279" t="s">
        <v>16</v>
      </c>
      <c r="C341" s="272" t="s">
        <v>17</v>
      </c>
      <c r="D341" s="262"/>
      <c r="E341" s="272" t="s">
        <v>18</v>
      </c>
      <c r="F341" s="262"/>
      <c r="G341" s="3" t="s">
        <v>19</v>
      </c>
      <c r="H341" s="3"/>
    </row>
    <row r="342" spans="2:8" ht="17.25" customHeight="1">
      <c r="B342" s="280"/>
      <c r="C342" s="273"/>
      <c r="D342" s="274"/>
      <c r="E342" s="273"/>
      <c r="F342" s="274"/>
      <c r="G342" s="3" t="s">
        <v>20</v>
      </c>
      <c r="H342" s="3" t="s">
        <v>21</v>
      </c>
    </row>
    <row r="343" spans="2:8" ht="17.25" customHeight="1">
      <c r="B343" s="281"/>
      <c r="C343" s="275"/>
      <c r="D343" s="276"/>
      <c r="E343" s="275"/>
      <c r="F343" s="276"/>
      <c r="G343" s="3" t="s">
        <v>22</v>
      </c>
      <c r="H343" s="3"/>
    </row>
    <row r="344" spans="2:8" ht="25.8" customHeight="1">
      <c r="B344" s="279" t="s">
        <v>23</v>
      </c>
      <c r="C344" s="283" t="s">
        <v>24</v>
      </c>
      <c r="D344" s="272" t="s">
        <v>25</v>
      </c>
      <c r="E344" s="3" t="s">
        <v>26</v>
      </c>
      <c r="F344" s="3"/>
      <c r="G344" s="3" t="s">
        <v>27</v>
      </c>
      <c r="H344" s="13">
        <v>20</v>
      </c>
    </row>
    <row r="345" spans="2:8" ht="27.6" customHeight="1">
      <c r="B345" s="281"/>
      <c r="C345" s="275"/>
      <c r="D345" s="281"/>
      <c r="E345" s="3" t="s">
        <v>28</v>
      </c>
      <c r="F345" s="3" t="s">
        <v>29</v>
      </c>
      <c r="G345" s="3" t="s">
        <v>30</v>
      </c>
      <c r="H345" s="12" t="s">
        <v>31</v>
      </c>
    </row>
    <row r="348" spans="2:8" ht="61.2" customHeight="1">
      <c r="B348" s="7"/>
      <c r="C348" s="282" t="s">
        <v>35</v>
      </c>
      <c r="D348" s="269"/>
      <c r="E348" s="269"/>
      <c r="F348" s="269"/>
      <c r="G348" s="269"/>
      <c r="H348" s="262"/>
    </row>
    <row r="349" spans="2:8" ht="31.8" customHeight="1">
      <c r="B349" s="8"/>
      <c r="C349" s="277" t="s">
        <v>1</v>
      </c>
      <c r="D349" s="253"/>
      <c r="E349" s="253"/>
      <c r="F349" s="253"/>
      <c r="G349" s="253"/>
      <c r="H349" s="254"/>
    </row>
    <row r="350" spans="2:8" ht="18.75" customHeight="1">
      <c r="B350" s="9" t="s">
        <v>2</v>
      </c>
      <c r="C350" s="285" t="s">
        <v>3</v>
      </c>
      <c r="D350" s="265"/>
      <c r="E350" s="265"/>
      <c r="F350" s="265"/>
      <c r="G350" s="265"/>
      <c r="H350" s="276"/>
    </row>
    <row r="351" spans="2:8" ht="32.25" customHeight="1">
      <c r="B351" s="1" t="s">
        <v>4</v>
      </c>
      <c r="C351" s="271" t="s">
        <v>5</v>
      </c>
      <c r="D351" s="253"/>
      <c r="E351" s="253"/>
      <c r="F351" s="253"/>
      <c r="G351" s="253"/>
      <c r="H351" s="254"/>
    </row>
    <row r="352" spans="2:8" ht="32.4" customHeight="1">
      <c r="B352" s="1" t="s">
        <v>6</v>
      </c>
      <c r="C352" s="278" t="s">
        <v>7</v>
      </c>
      <c r="D352" s="254"/>
      <c r="E352" s="11" t="s">
        <v>8</v>
      </c>
      <c r="F352" s="271" t="s">
        <v>9</v>
      </c>
      <c r="G352" s="253"/>
      <c r="H352" s="254"/>
    </row>
    <row r="353" spans="2:8" ht="88.95" customHeight="1">
      <c r="B353" s="1" t="s">
        <v>10</v>
      </c>
      <c r="C353" s="278" t="s">
        <v>79</v>
      </c>
      <c r="D353" s="253"/>
      <c r="E353" s="253"/>
      <c r="F353" s="253"/>
      <c r="G353" s="253"/>
      <c r="H353" s="254"/>
    </row>
    <row r="354" spans="2:8" ht="28.2" customHeight="1">
      <c r="B354" s="1" t="s">
        <v>12</v>
      </c>
      <c r="C354" s="272" t="s">
        <v>80</v>
      </c>
      <c r="D354" s="253"/>
      <c r="E354" s="253"/>
      <c r="F354" s="253"/>
      <c r="G354" s="253"/>
      <c r="H354" s="254"/>
    </row>
    <row r="355" spans="2:8" ht="25.2" customHeight="1">
      <c r="B355" s="1" t="s">
        <v>14</v>
      </c>
      <c r="C355" s="284">
        <v>46078</v>
      </c>
      <c r="D355" s="254"/>
      <c r="E355" s="3" t="s">
        <v>15</v>
      </c>
      <c r="F355" s="284">
        <v>46122</v>
      </c>
      <c r="G355" s="253"/>
      <c r="H355" s="254"/>
    </row>
    <row r="356" spans="2:8" ht="22.5" customHeight="1">
      <c r="B356" s="279" t="s">
        <v>16</v>
      </c>
      <c r="C356" s="272" t="s">
        <v>17</v>
      </c>
      <c r="D356" s="262"/>
      <c r="E356" s="272" t="s">
        <v>18</v>
      </c>
      <c r="F356" s="262"/>
      <c r="G356" s="3" t="s">
        <v>19</v>
      </c>
      <c r="H356" s="3"/>
    </row>
    <row r="357" spans="2:8" ht="17.25" customHeight="1">
      <c r="B357" s="280"/>
      <c r="C357" s="273"/>
      <c r="D357" s="274"/>
      <c r="E357" s="273"/>
      <c r="F357" s="274"/>
      <c r="G357" s="3" t="s">
        <v>20</v>
      </c>
      <c r="H357" s="3" t="s">
        <v>21</v>
      </c>
    </row>
    <row r="358" spans="2:8" ht="17.25" customHeight="1">
      <c r="B358" s="281"/>
      <c r="C358" s="275"/>
      <c r="D358" s="276"/>
      <c r="E358" s="275"/>
      <c r="F358" s="276"/>
      <c r="G358" s="3" t="s">
        <v>22</v>
      </c>
      <c r="H358" s="3"/>
    </row>
    <row r="359" spans="2:8" ht="25.8" customHeight="1">
      <c r="B359" s="279" t="s">
        <v>23</v>
      </c>
      <c r="C359" s="283" t="s">
        <v>24</v>
      </c>
      <c r="D359" s="272" t="s">
        <v>25</v>
      </c>
      <c r="E359" s="3" t="s">
        <v>26</v>
      </c>
      <c r="F359" s="3"/>
      <c r="G359" s="3" t="s">
        <v>27</v>
      </c>
      <c r="H359" s="13">
        <v>30</v>
      </c>
    </row>
    <row r="360" spans="2:8" ht="27.6" customHeight="1">
      <c r="B360" s="281"/>
      <c r="C360" s="275"/>
      <c r="D360" s="281"/>
      <c r="E360" s="3" t="s">
        <v>28</v>
      </c>
      <c r="F360" s="3" t="s">
        <v>29</v>
      </c>
      <c r="G360" s="3" t="s">
        <v>30</v>
      </c>
      <c r="H360" s="12" t="s">
        <v>31</v>
      </c>
    </row>
    <row r="363" spans="2:8" ht="61.2" customHeight="1">
      <c r="B363" s="7"/>
      <c r="C363" s="282" t="s">
        <v>35</v>
      </c>
      <c r="D363" s="269"/>
      <c r="E363" s="269"/>
      <c r="F363" s="269"/>
      <c r="G363" s="269"/>
      <c r="H363" s="262"/>
    </row>
    <row r="364" spans="2:8" ht="31.8" customHeight="1">
      <c r="B364" s="8"/>
      <c r="C364" s="277" t="s">
        <v>1</v>
      </c>
      <c r="D364" s="253"/>
      <c r="E364" s="253"/>
      <c r="F364" s="253"/>
      <c r="G364" s="253"/>
      <c r="H364" s="254"/>
    </row>
    <row r="365" spans="2:8" ht="18.75" customHeight="1">
      <c r="B365" s="9" t="s">
        <v>2</v>
      </c>
      <c r="C365" s="285" t="s">
        <v>3</v>
      </c>
      <c r="D365" s="265"/>
      <c r="E365" s="265"/>
      <c r="F365" s="265"/>
      <c r="G365" s="265"/>
      <c r="H365" s="276"/>
    </row>
    <row r="366" spans="2:8" ht="32.25" customHeight="1">
      <c r="B366" s="1" t="s">
        <v>4</v>
      </c>
      <c r="C366" s="271" t="s">
        <v>5</v>
      </c>
      <c r="D366" s="253"/>
      <c r="E366" s="253"/>
      <c r="F366" s="253"/>
      <c r="G366" s="253"/>
      <c r="H366" s="254"/>
    </row>
    <row r="367" spans="2:8" ht="32.4" customHeight="1">
      <c r="B367" s="1" t="s">
        <v>6</v>
      </c>
      <c r="C367" s="278" t="s">
        <v>7</v>
      </c>
      <c r="D367" s="254"/>
      <c r="E367" s="11" t="s">
        <v>8</v>
      </c>
      <c r="F367" s="271" t="s">
        <v>9</v>
      </c>
      <c r="G367" s="253"/>
      <c r="H367" s="254"/>
    </row>
    <row r="368" spans="2:8" ht="88.95" customHeight="1">
      <c r="B368" s="1" t="s">
        <v>10</v>
      </c>
      <c r="C368" s="278" t="s">
        <v>81</v>
      </c>
      <c r="D368" s="253"/>
      <c r="E368" s="253"/>
      <c r="F368" s="253"/>
      <c r="G368" s="253"/>
      <c r="H368" s="254"/>
    </row>
    <row r="369" spans="2:8" ht="28.2" customHeight="1">
      <c r="B369" s="1" t="s">
        <v>12</v>
      </c>
      <c r="C369" s="272" t="s">
        <v>82</v>
      </c>
      <c r="D369" s="253"/>
      <c r="E369" s="253"/>
      <c r="F369" s="253"/>
      <c r="G369" s="253"/>
      <c r="H369" s="254"/>
    </row>
    <row r="370" spans="2:8" ht="25.2" customHeight="1">
      <c r="B370" s="1" t="s">
        <v>14</v>
      </c>
      <c r="C370" s="284">
        <v>46103</v>
      </c>
      <c r="D370" s="254"/>
      <c r="E370" s="3" t="s">
        <v>15</v>
      </c>
      <c r="F370" s="284">
        <v>46113</v>
      </c>
      <c r="G370" s="253"/>
      <c r="H370" s="254"/>
    </row>
    <row r="371" spans="2:8" ht="22.5" customHeight="1">
      <c r="B371" s="279" t="s">
        <v>16</v>
      </c>
      <c r="C371" s="272" t="s">
        <v>17</v>
      </c>
      <c r="D371" s="262"/>
      <c r="E371" s="272" t="s">
        <v>18</v>
      </c>
      <c r="F371" s="262"/>
      <c r="G371" s="3" t="s">
        <v>19</v>
      </c>
      <c r="H371" s="3"/>
    </row>
    <row r="372" spans="2:8" ht="17.25" customHeight="1">
      <c r="B372" s="280"/>
      <c r="C372" s="273"/>
      <c r="D372" s="274"/>
      <c r="E372" s="273"/>
      <c r="F372" s="274"/>
      <c r="G372" s="3" t="s">
        <v>20</v>
      </c>
      <c r="H372" s="3" t="s">
        <v>21</v>
      </c>
    </row>
    <row r="373" spans="2:8" ht="17.25" customHeight="1">
      <c r="B373" s="281"/>
      <c r="C373" s="275"/>
      <c r="D373" s="276"/>
      <c r="E373" s="275"/>
      <c r="F373" s="276"/>
      <c r="G373" s="3" t="s">
        <v>22</v>
      </c>
      <c r="H373" s="3"/>
    </row>
    <row r="374" spans="2:8" ht="25.8" customHeight="1">
      <c r="B374" s="279" t="s">
        <v>23</v>
      </c>
      <c r="C374" s="283" t="s">
        <v>24</v>
      </c>
      <c r="D374" s="272" t="s">
        <v>25</v>
      </c>
      <c r="E374" s="3" t="s">
        <v>26</v>
      </c>
      <c r="F374" s="3"/>
      <c r="G374" s="3" t="s">
        <v>27</v>
      </c>
      <c r="H374" s="13">
        <v>19</v>
      </c>
    </row>
    <row r="375" spans="2:8" ht="27.6" customHeight="1">
      <c r="B375" s="281"/>
      <c r="C375" s="275"/>
      <c r="D375" s="281"/>
      <c r="E375" s="3" t="s">
        <v>28</v>
      </c>
      <c r="F375" s="3" t="s">
        <v>29</v>
      </c>
      <c r="G375" s="3" t="s">
        <v>30</v>
      </c>
      <c r="H375" s="12" t="s">
        <v>31</v>
      </c>
    </row>
    <row r="378" spans="2:8" ht="61.2" customHeight="1">
      <c r="B378" s="7"/>
      <c r="C378" s="282" t="s">
        <v>35</v>
      </c>
      <c r="D378" s="269"/>
      <c r="E378" s="269"/>
      <c r="F378" s="269"/>
      <c r="G378" s="269"/>
      <c r="H378" s="262"/>
    </row>
    <row r="379" spans="2:8" ht="31.8" customHeight="1">
      <c r="B379" s="8"/>
      <c r="C379" s="277" t="s">
        <v>1</v>
      </c>
      <c r="D379" s="253"/>
      <c r="E379" s="253"/>
      <c r="F379" s="253"/>
      <c r="G379" s="253"/>
      <c r="H379" s="254"/>
    </row>
    <row r="380" spans="2:8" ht="18.75" customHeight="1">
      <c r="B380" s="9" t="s">
        <v>2</v>
      </c>
      <c r="C380" s="285" t="s">
        <v>3</v>
      </c>
      <c r="D380" s="265"/>
      <c r="E380" s="265"/>
      <c r="F380" s="265"/>
      <c r="G380" s="265"/>
      <c r="H380" s="276"/>
    </row>
    <row r="381" spans="2:8" ht="32.25" customHeight="1">
      <c r="B381" s="1" t="s">
        <v>4</v>
      </c>
      <c r="C381" s="271" t="s">
        <v>5</v>
      </c>
      <c r="D381" s="253"/>
      <c r="E381" s="253"/>
      <c r="F381" s="253"/>
      <c r="G381" s="253"/>
      <c r="H381" s="254"/>
    </row>
    <row r="382" spans="2:8" ht="32.4" customHeight="1">
      <c r="B382" s="1" t="s">
        <v>6</v>
      </c>
      <c r="C382" s="278" t="s">
        <v>7</v>
      </c>
      <c r="D382" s="254"/>
      <c r="E382" s="11" t="s">
        <v>8</v>
      </c>
      <c r="F382" s="271" t="s">
        <v>9</v>
      </c>
      <c r="G382" s="253"/>
      <c r="H382" s="254"/>
    </row>
    <row r="383" spans="2:8" ht="88.95" customHeight="1">
      <c r="B383" s="1" t="s">
        <v>10</v>
      </c>
      <c r="C383" s="278" t="s">
        <v>83</v>
      </c>
      <c r="D383" s="253"/>
      <c r="E383" s="253"/>
      <c r="F383" s="253"/>
      <c r="G383" s="253"/>
      <c r="H383" s="254"/>
    </row>
    <row r="384" spans="2:8" ht="28.2" customHeight="1">
      <c r="B384" s="1" t="s">
        <v>12</v>
      </c>
      <c r="C384" s="272" t="s">
        <v>84</v>
      </c>
      <c r="D384" s="253"/>
      <c r="E384" s="253"/>
      <c r="F384" s="253"/>
      <c r="G384" s="253"/>
      <c r="H384" s="254"/>
    </row>
    <row r="385" spans="2:8" ht="25.2" customHeight="1">
      <c r="B385" s="1" t="s">
        <v>14</v>
      </c>
      <c r="C385" s="284">
        <v>46098</v>
      </c>
      <c r="D385" s="254"/>
      <c r="E385" s="3" t="s">
        <v>15</v>
      </c>
      <c r="F385" s="284">
        <v>46108</v>
      </c>
      <c r="G385" s="253"/>
      <c r="H385" s="254"/>
    </row>
    <row r="386" spans="2:8" ht="22.5" customHeight="1">
      <c r="B386" s="279" t="s">
        <v>16</v>
      </c>
      <c r="C386" s="272" t="s">
        <v>17</v>
      </c>
      <c r="D386" s="262"/>
      <c r="E386" s="272" t="s">
        <v>18</v>
      </c>
      <c r="F386" s="262"/>
      <c r="G386" s="3" t="s">
        <v>19</v>
      </c>
      <c r="H386" s="3"/>
    </row>
    <row r="387" spans="2:8" ht="17.25" customHeight="1">
      <c r="B387" s="280"/>
      <c r="C387" s="273"/>
      <c r="D387" s="274"/>
      <c r="E387" s="273"/>
      <c r="F387" s="274"/>
      <c r="G387" s="3" t="s">
        <v>20</v>
      </c>
      <c r="H387" s="3" t="s">
        <v>21</v>
      </c>
    </row>
    <row r="388" spans="2:8" ht="17.25" customHeight="1">
      <c r="B388" s="281"/>
      <c r="C388" s="275"/>
      <c r="D388" s="276"/>
      <c r="E388" s="275"/>
      <c r="F388" s="276"/>
      <c r="G388" s="3" t="s">
        <v>22</v>
      </c>
      <c r="H388" s="3"/>
    </row>
    <row r="389" spans="2:8" ht="25.8" customHeight="1">
      <c r="B389" s="279" t="s">
        <v>23</v>
      </c>
      <c r="C389" s="283" t="s">
        <v>24</v>
      </c>
      <c r="D389" s="272" t="s">
        <v>25</v>
      </c>
      <c r="E389" s="3" t="s">
        <v>26</v>
      </c>
      <c r="F389" s="3"/>
      <c r="G389" s="3" t="s">
        <v>27</v>
      </c>
      <c r="H389" s="12" t="s">
        <v>85</v>
      </c>
    </row>
    <row r="390" spans="2:8" ht="27.6" customHeight="1">
      <c r="B390" s="281"/>
      <c r="C390" s="275"/>
      <c r="D390" s="281"/>
      <c r="E390" s="3" t="s">
        <v>28</v>
      </c>
      <c r="F390" s="3" t="s">
        <v>29</v>
      </c>
      <c r="G390" s="3" t="s">
        <v>30</v>
      </c>
      <c r="H390" s="12" t="s">
        <v>31</v>
      </c>
    </row>
    <row r="393" spans="2:8" ht="61.2" customHeight="1">
      <c r="B393" s="7"/>
      <c r="C393" s="282" t="s">
        <v>35</v>
      </c>
      <c r="D393" s="269"/>
      <c r="E393" s="269"/>
      <c r="F393" s="269"/>
      <c r="G393" s="269"/>
      <c r="H393" s="262"/>
    </row>
    <row r="394" spans="2:8" ht="31.8" customHeight="1">
      <c r="B394" s="8"/>
      <c r="C394" s="277" t="s">
        <v>1</v>
      </c>
      <c r="D394" s="253"/>
      <c r="E394" s="253"/>
      <c r="F394" s="253"/>
      <c r="G394" s="253"/>
      <c r="H394" s="254"/>
    </row>
    <row r="395" spans="2:8" ht="18.75" customHeight="1">
      <c r="B395" s="9" t="s">
        <v>2</v>
      </c>
      <c r="C395" s="285" t="s">
        <v>3</v>
      </c>
      <c r="D395" s="265"/>
      <c r="E395" s="265"/>
      <c r="F395" s="265"/>
      <c r="G395" s="265"/>
      <c r="H395" s="276"/>
    </row>
    <row r="396" spans="2:8" ht="32.25" customHeight="1">
      <c r="B396" s="1" t="s">
        <v>4</v>
      </c>
      <c r="C396" s="271" t="s">
        <v>5</v>
      </c>
      <c r="D396" s="253"/>
      <c r="E396" s="253"/>
      <c r="F396" s="253"/>
      <c r="G396" s="253"/>
      <c r="H396" s="254"/>
    </row>
    <row r="397" spans="2:8" ht="32.4" customHeight="1">
      <c r="B397" s="1" t="s">
        <v>6</v>
      </c>
      <c r="C397" s="278" t="s">
        <v>7</v>
      </c>
      <c r="D397" s="254"/>
      <c r="E397" s="11" t="s">
        <v>8</v>
      </c>
      <c r="F397" s="271" t="s">
        <v>9</v>
      </c>
      <c r="G397" s="253"/>
      <c r="H397" s="254"/>
    </row>
    <row r="398" spans="2:8" ht="88.95" customHeight="1">
      <c r="B398" s="1" t="s">
        <v>10</v>
      </c>
      <c r="C398" s="278" t="s">
        <v>86</v>
      </c>
      <c r="D398" s="253"/>
      <c r="E398" s="253"/>
      <c r="F398" s="253"/>
      <c r="G398" s="253"/>
      <c r="H398" s="254"/>
    </row>
    <row r="399" spans="2:8" ht="28.2" customHeight="1">
      <c r="B399" s="1" t="s">
        <v>12</v>
      </c>
      <c r="C399" s="272" t="s">
        <v>87</v>
      </c>
      <c r="D399" s="253"/>
      <c r="E399" s="253"/>
      <c r="F399" s="253"/>
      <c r="G399" s="253"/>
      <c r="H399" s="254"/>
    </row>
    <row r="400" spans="2:8" ht="25.2" customHeight="1">
      <c r="B400" s="1" t="s">
        <v>14</v>
      </c>
      <c r="C400" s="284">
        <v>46103</v>
      </c>
      <c r="D400" s="254"/>
      <c r="E400" s="3" t="s">
        <v>15</v>
      </c>
      <c r="F400" s="284">
        <v>46104</v>
      </c>
      <c r="G400" s="253"/>
      <c r="H400" s="254"/>
    </row>
    <row r="401" spans="2:8" ht="22.5" customHeight="1">
      <c r="B401" s="279" t="s">
        <v>16</v>
      </c>
      <c r="C401" s="272" t="s">
        <v>17</v>
      </c>
      <c r="D401" s="262"/>
      <c r="E401" s="272" t="s">
        <v>18</v>
      </c>
      <c r="F401" s="262"/>
      <c r="G401" s="3" t="s">
        <v>19</v>
      </c>
      <c r="H401" s="3"/>
    </row>
    <row r="402" spans="2:8" ht="17.25" customHeight="1">
      <c r="B402" s="280"/>
      <c r="C402" s="273"/>
      <c r="D402" s="274"/>
      <c r="E402" s="273"/>
      <c r="F402" s="274"/>
      <c r="G402" s="3" t="s">
        <v>20</v>
      </c>
      <c r="H402" s="3" t="s">
        <v>21</v>
      </c>
    </row>
    <row r="403" spans="2:8" ht="17.25" customHeight="1">
      <c r="B403" s="281"/>
      <c r="C403" s="275"/>
      <c r="D403" s="276"/>
      <c r="E403" s="275"/>
      <c r="F403" s="276"/>
      <c r="G403" s="3" t="s">
        <v>22</v>
      </c>
      <c r="H403" s="3"/>
    </row>
    <row r="404" spans="2:8" ht="25.8" customHeight="1">
      <c r="B404" s="279" t="s">
        <v>23</v>
      </c>
      <c r="C404" s="283" t="s">
        <v>24</v>
      </c>
      <c r="D404" s="272" t="s">
        <v>25</v>
      </c>
      <c r="E404" s="3" t="s">
        <v>26</v>
      </c>
      <c r="F404" s="3"/>
      <c r="G404" s="3" t="s">
        <v>27</v>
      </c>
      <c r="H404" s="12" t="s">
        <v>88</v>
      </c>
    </row>
    <row r="405" spans="2:8" ht="27.6" customHeight="1">
      <c r="B405" s="281"/>
      <c r="C405" s="275"/>
      <c r="D405" s="281"/>
      <c r="E405" s="3" t="s">
        <v>28</v>
      </c>
      <c r="F405" s="3" t="s">
        <v>29</v>
      </c>
      <c r="G405" s="3" t="s">
        <v>30</v>
      </c>
      <c r="H405" s="12" t="s">
        <v>31</v>
      </c>
    </row>
    <row r="408" spans="2:8" ht="61.2" customHeight="1">
      <c r="B408" s="7"/>
      <c r="C408" s="282" t="s">
        <v>35</v>
      </c>
      <c r="D408" s="269"/>
      <c r="E408" s="269"/>
      <c r="F408" s="269"/>
      <c r="G408" s="269"/>
      <c r="H408" s="262"/>
    </row>
    <row r="409" spans="2:8" ht="31.8" customHeight="1">
      <c r="B409" s="8"/>
      <c r="C409" s="277" t="s">
        <v>1</v>
      </c>
      <c r="D409" s="253"/>
      <c r="E409" s="253"/>
      <c r="F409" s="253"/>
      <c r="G409" s="253"/>
      <c r="H409" s="254"/>
    </row>
    <row r="410" spans="2:8" ht="18.75" customHeight="1">
      <c r="B410" s="9" t="s">
        <v>2</v>
      </c>
      <c r="C410" s="285" t="s">
        <v>3</v>
      </c>
      <c r="D410" s="265"/>
      <c r="E410" s="265"/>
      <c r="F410" s="265"/>
      <c r="G410" s="265"/>
      <c r="H410" s="276"/>
    </row>
    <row r="411" spans="2:8" ht="32.25" customHeight="1">
      <c r="B411" s="1" t="s">
        <v>4</v>
      </c>
      <c r="C411" s="271" t="s">
        <v>5</v>
      </c>
      <c r="D411" s="253"/>
      <c r="E411" s="253"/>
      <c r="F411" s="253"/>
      <c r="G411" s="253"/>
      <c r="H411" s="254"/>
    </row>
    <row r="412" spans="2:8" ht="32.4" customHeight="1">
      <c r="B412" s="1" t="s">
        <v>6</v>
      </c>
      <c r="C412" s="278" t="s">
        <v>7</v>
      </c>
      <c r="D412" s="254"/>
      <c r="E412" s="11" t="s">
        <v>8</v>
      </c>
      <c r="F412" s="271" t="s">
        <v>9</v>
      </c>
      <c r="G412" s="253"/>
      <c r="H412" s="254"/>
    </row>
    <row r="413" spans="2:8" ht="88.95" customHeight="1">
      <c r="B413" s="1" t="s">
        <v>10</v>
      </c>
      <c r="C413" s="278" t="s">
        <v>89</v>
      </c>
      <c r="D413" s="253"/>
      <c r="E413" s="253"/>
      <c r="F413" s="253"/>
      <c r="G413" s="253"/>
      <c r="H413" s="254"/>
    </row>
    <row r="414" spans="2:8" ht="28.2" customHeight="1">
      <c r="B414" s="1" t="s">
        <v>12</v>
      </c>
      <c r="C414" s="272" t="s">
        <v>90</v>
      </c>
      <c r="D414" s="253"/>
      <c r="E414" s="253"/>
      <c r="F414" s="253"/>
      <c r="G414" s="253"/>
      <c r="H414" s="254"/>
    </row>
    <row r="415" spans="2:8" ht="25.2" customHeight="1">
      <c r="B415" s="1" t="s">
        <v>14</v>
      </c>
      <c r="C415" s="284">
        <v>46098</v>
      </c>
      <c r="D415" s="254"/>
      <c r="E415" s="3" t="s">
        <v>15</v>
      </c>
      <c r="F415" s="284">
        <v>46113</v>
      </c>
      <c r="G415" s="253"/>
      <c r="H415" s="254"/>
    </row>
    <row r="416" spans="2:8" ht="22.5" customHeight="1">
      <c r="B416" s="279" t="s">
        <v>16</v>
      </c>
      <c r="C416" s="272" t="s">
        <v>17</v>
      </c>
      <c r="D416" s="262"/>
      <c r="E416" s="272" t="s">
        <v>18</v>
      </c>
      <c r="F416" s="262"/>
      <c r="G416" s="3" t="s">
        <v>19</v>
      </c>
      <c r="H416" s="3"/>
    </row>
    <row r="417" spans="2:8" ht="17.25" customHeight="1">
      <c r="B417" s="280"/>
      <c r="C417" s="273"/>
      <c r="D417" s="274"/>
      <c r="E417" s="273"/>
      <c r="F417" s="274"/>
      <c r="G417" s="3" t="s">
        <v>20</v>
      </c>
      <c r="H417" s="3" t="s">
        <v>21</v>
      </c>
    </row>
    <row r="418" spans="2:8" ht="17.25" customHeight="1">
      <c r="B418" s="281"/>
      <c r="C418" s="275"/>
      <c r="D418" s="276"/>
      <c r="E418" s="275"/>
      <c r="F418" s="276"/>
      <c r="G418" s="3" t="s">
        <v>22</v>
      </c>
      <c r="H418" s="3"/>
    </row>
    <row r="419" spans="2:8" ht="25.8" customHeight="1">
      <c r="B419" s="279" t="s">
        <v>23</v>
      </c>
      <c r="C419" s="283" t="s">
        <v>24</v>
      </c>
      <c r="D419" s="272" t="s">
        <v>25</v>
      </c>
      <c r="E419" s="3" t="s">
        <v>26</v>
      </c>
      <c r="F419" s="3"/>
      <c r="G419" s="3" t="s">
        <v>27</v>
      </c>
      <c r="H419" s="12" t="s">
        <v>91</v>
      </c>
    </row>
    <row r="420" spans="2:8" ht="27.6" customHeight="1">
      <c r="B420" s="281"/>
      <c r="C420" s="275"/>
      <c r="D420" s="281"/>
      <c r="E420" s="3" t="s">
        <v>28</v>
      </c>
      <c r="F420" s="3" t="s">
        <v>29</v>
      </c>
      <c r="G420" s="3" t="s">
        <v>30</v>
      </c>
      <c r="H420" s="12" t="s">
        <v>31</v>
      </c>
    </row>
    <row r="423" spans="2:8" ht="61.2" customHeight="1">
      <c r="B423" s="7"/>
      <c r="C423" s="282" t="s">
        <v>35</v>
      </c>
      <c r="D423" s="269"/>
      <c r="E423" s="269"/>
      <c r="F423" s="269"/>
      <c r="G423" s="269"/>
      <c r="H423" s="262"/>
    </row>
    <row r="424" spans="2:8" ht="31.8" customHeight="1">
      <c r="B424" s="8"/>
      <c r="C424" s="277" t="s">
        <v>1</v>
      </c>
      <c r="D424" s="253"/>
      <c r="E424" s="253"/>
      <c r="F424" s="253"/>
      <c r="G424" s="253"/>
      <c r="H424" s="254"/>
    </row>
    <row r="425" spans="2:8" ht="18.75" customHeight="1">
      <c r="B425" s="9" t="s">
        <v>2</v>
      </c>
      <c r="C425" s="285" t="s">
        <v>3</v>
      </c>
      <c r="D425" s="265"/>
      <c r="E425" s="265"/>
      <c r="F425" s="265"/>
      <c r="G425" s="265"/>
      <c r="H425" s="276"/>
    </row>
    <row r="426" spans="2:8" ht="32.25" customHeight="1">
      <c r="B426" s="1" t="s">
        <v>4</v>
      </c>
      <c r="C426" s="271" t="s">
        <v>5</v>
      </c>
      <c r="D426" s="253"/>
      <c r="E426" s="253"/>
      <c r="F426" s="253"/>
      <c r="G426" s="253"/>
      <c r="H426" s="254"/>
    </row>
    <row r="427" spans="2:8" ht="32.4" customHeight="1">
      <c r="B427" s="1" t="s">
        <v>6</v>
      </c>
      <c r="C427" s="278" t="s">
        <v>7</v>
      </c>
      <c r="D427" s="254"/>
      <c r="E427" s="11" t="s">
        <v>8</v>
      </c>
      <c r="F427" s="271" t="s">
        <v>9</v>
      </c>
      <c r="G427" s="253"/>
      <c r="H427" s="254"/>
    </row>
    <row r="428" spans="2:8" ht="88.95" customHeight="1">
      <c r="B428" s="1" t="s">
        <v>10</v>
      </c>
      <c r="C428" s="278" t="s">
        <v>92</v>
      </c>
      <c r="D428" s="253"/>
      <c r="E428" s="253"/>
      <c r="F428" s="253"/>
      <c r="G428" s="253"/>
      <c r="H428" s="254"/>
    </row>
    <row r="429" spans="2:8" ht="28.2" customHeight="1">
      <c r="B429" s="1" t="s">
        <v>12</v>
      </c>
      <c r="C429" s="272" t="s">
        <v>93</v>
      </c>
      <c r="D429" s="253"/>
      <c r="E429" s="253"/>
      <c r="F429" s="253"/>
      <c r="G429" s="253"/>
      <c r="H429" s="254"/>
    </row>
    <row r="430" spans="2:8" ht="25.2" customHeight="1">
      <c r="B430" s="1" t="s">
        <v>14</v>
      </c>
      <c r="C430" s="284">
        <v>46109</v>
      </c>
      <c r="D430" s="254"/>
      <c r="E430" s="3" t="s">
        <v>15</v>
      </c>
      <c r="F430" s="284">
        <v>46122</v>
      </c>
      <c r="G430" s="253"/>
      <c r="H430" s="254"/>
    </row>
    <row r="431" spans="2:8" ht="22.5" customHeight="1">
      <c r="B431" s="279" t="s">
        <v>16</v>
      </c>
      <c r="C431" s="272" t="s">
        <v>17</v>
      </c>
      <c r="D431" s="262"/>
      <c r="E431" s="272" t="s">
        <v>18</v>
      </c>
      <c r="F431" s="262"/>
      <c r="G431" s="3" t="s">
        <v>19</v>
      </c>
      <c r="H431" s="3"/>
    </row>
    <row r="432" spans="2:8" ht="17.25" customHeight="1">
      <c r="B432" s="280"/>
      <c r="C432" s="273"/>
      <c r="D432" s="274"/>
      <c r="E432" s="273"/>
      <c r="F432" s="274"/>
      <c r="G432" s="3" t="s">
        <v>20</v>
      </c>
      <c r="H432" s="3" t="s">
        <v>21</v>
      </c>
    </row>
    <row r="433" spans="2:8" ht="17.25" customHeight="1">
      <c r="B433" s="281"/>
      <c r="C433" s="275"/>
      <c r="D433" s="276"/>
      <c r="E433" s="275"/>
      <c r="F433" s="276"/>
      <c r="G433" s="3" t="s">
        <v>22</v>
      </c>
      <c r="H433" s="3"/>
    </row>
    <row r="434" spans="2:8" ht="25.8" customHeight="1">
      <c r="B434" s="279" t="s">
        <v>23</v>
      </c>
      <c r="C434" s="283" t="s">
        <v>24</v>
      </c>
      <c r="D434" s="272" t="s">
        <v>25</v>
      </c>
      <c r="E434" s="3" t="s">
        <v>26</v>
      </c>
      <c r="F434" s="3"/>
      <c r="G434" s="3" t="s">
        <v>27</v>
      </c>
      <c r="H434" s="12" t="s">
        <v>94</v>
      </c>
    </row>
    <row r="435" spans="2:8" ht="27.6" customHeight="1">
      <c r="B435" s="281"/>
      <c r="C435" s="275"/>
      <c r="D435" s="281"/>
      <c r="E435" s="3" t="s">
        <v>28</v>
      </c>
      <c r="F435" s="3" t="s">
        <v>29</v>
      </c>
      <c r="G435" s="3" t="s">
        <v>30</v>
      </c>
      <c r="H435" s="12" t="s">
        <v>31</v>
      </c>
    </row>
    <row r="438" spans="2:8" ht="61.2" customHeight="1">
      <c r="B438" s="7"/>
      <c r="C438" s="282" t="s">
        <v>35</v>
      </c>
      <c r="D438" s="269"/>
      <c r="E438" s="269"/>
      <c r="F438" s="269"/>
      <c r="G438" s="269"/>
      <c r="H438" s="262"/>
    </row>
    <row r="439" spans="2:8" ht="31.8" customHeight="1">
      <c r="B439" s="8"/>
      <c r="C439" s="277" t="s">
        <v>1</v>
      </c>
      <c r="D439" s="253"/>
      <c r="E439" s="253"/>
      <c r="F439" s="253"/>
      <c r="G439" s="253"/>
      <c r="H439" s="254"/>
    </row>
    <row r="440" spans="2:8" ht="18.75" customHeight="1">
      <c r="B440" s="9" t="s">
        <v>2</v>
      </c>
      <c r="C440" s="285" t="s">
        <v>3</v>
      </c>
      <c r="D440" s="265"/>
      <c r="E440" s="265"/>
      <c r="F440" s="265"/>
      <c r="G440" s="265"/>
      <c r="H440" s="276"/>
    </row>
    <row r="441" spans="2:8" ht="32.25" customHeight="1">
      <c r="B441" s="1" t="s">
        <v>4</v>
      </c>
      <c r="C441" s="271" t="s">
        <v>5</v>
      </c>
      <c r="D441" s="253"/>
      <c r="E441" s="253"/>
      <c r="F441" s="253"/>
      <c r="G441" s="253"/>
      <c r="H441" s="254"/>
    </row>
    <row r="442" spans="2:8" ht="32.4" customHeight="1">
      <c r="B442" s="1" t="s">
        <v>6</v>
      </c>
      <c r="C442" s="278" t="s">
        <v>7</v>
      </c>
      <c r="D442" s="254"/>
      <c r="E442" s="11" t="s">
        <v>8</v>
      </c>
      <c r="F442" s="271" t="s">
        <v>9</v>
      </c>
      <c r="G442" s="253"/>
      <c r="H442" s="254"/>
    </row>
    <row r="443" spans="2:8" ht="88.95" customHeight="1">
      <c r="B443" s="1" t="s">
        <v>10</v>
      </c>
      <c r="C443" s="270" t="s">
        <v>95</v>
      </c>
      <c r="D443" s="253"/>
      <c r="E443" s="253"/>
      <c r="F443" s="253"/>
      <c r="G443" s="253"/>
      <c r="H443" s="254"/>
    </row>
    <row r="444" spans="2:8" ht="28.2" customHeight="1">
      <c r="B444" s="1" t="s">
        <v>12</v>
      </c>
      <c r="C444" s="272" t="s">
        <v>96</v>
      </c>
      <c r="D444" s="253"/>
      <c r="E444" s="253"/>
      <c r="F444" s="253"/>
      <c r="G444" s="253"/>
      <c r="H444" s="254"/>
    </row>
    <row r="445" spans="2:8" ht="25.2" customHeight="1">
      <c r="B445" s="1" t="s">
        <v>14</v>
      </c>
      <c r="C445" s="284">
        <v>46058</v>
      </c>
      <c r="D445" s="254"/>
      <c r="E445" s="3" t="s">
        <v>15</v>
      </c>
      <c r="F445" s="284">
        <v>46128</v>
      </c>
      <c r="G445" s="253"/>
      <c r="H445" s="254"/>
    </row>
    <row r="446" spans="2:8" ht="22.5" customHeight="1">
      <c r="B446" s="279" t="s">
        <v>16</v>
      </c>
      <c r="C446" s="272" t="s">
        <v>17</v>
      </c>
      <c r="D446" s="262"/>
      <c r="E446" s="272" t="s">
        <v>18</v>
      </c>
      <c r="F446" s="262"/>
      <c r="G446" s="3" t="s">
        <v>19</v>
      </c>
      <c r="H446" s="3"/>
    </row>
    <row r="447" spans="2:8" ht="17.25" customHeight="1">
      <c r="B447" s="280"/>
      <c r="C447" s="273"/>
      <c r="D447" s="274"/>
      <c r="E447" s="273"/>
      <c r="F447" s="274"/>
      <c r="G447" s="3" t="s">
        <v>20</v>
      </c>
      <c r="H447" s="3" t="s">
        <v>21</v>
      </c>
    </row>
    <row r="448" spans="2:8" ht="17.25" customHeight="1">
      <c r="B448" s="281"/>
      <c r="C448" s="275"/>
      <c r="D448" s="276"/>
      <c r="E448" s="275"/>
      <c r="F448" s="276"/>
      <c r="G448" s="3" t="s">
        <v>22</v>
      </c>
      <c r="H448" s="3"/>
    </row>
    <row r="449" spans="2:8" ht="25.8" customHeight="1">
      <c r="B449" s="279" t="s">
        <v>23</v>
      </c>
      <c r="C449" s="283" t="s">
        <v>24</v>
      </c>
      <c r="D449" s="272" t="s">
        <v>25</v>
      </c>
      <c r="E449" s="3" t="s">
        <v>26</v>
      </c>
      <c r="F449" s="3"/>
      <c r="G449" s="3" t="s">
        <v>27</v>
      </c>
      <c r="H449" s="12" t="s">
        <v>97</v>
      </c>
    </row>
    <row r="450" spans="2:8" ht="27.6" customHeight="1">
      <c r="B450" s="281"/>
      <c r="C450" s="275"/>
      <c r="D450" s="281"/>
      <c r="E450" s="3" t="s">
        <v>28</v>
      </c>
      <c r="F450" s="3" t="s">
        <v>29</v>
      </c>
      <c r="G450" s="3" t="s">
        <v>30</v>
      </c>
      <c r="H450" s="12" t="s">
        <v>31</v>
      </c>
    </row>
    <row r="453" spans="2:8" ht="61.2" customHeight="1">
      <c r="B453" s="7"/>
      <c r="C453" s="282" t="s">
        <v>35</v>
      </c>
      <c r="D453" s="269"/>
      <c r="E453" s="269"/>
      <c r="F453" s="269"/>
      <c r="G453" s="269"/>
      <c r="H453" s="262"/>
    </row>
    <row r="454" spans="2:8" ht="31.8" customHeight="1">
      <c r="B454" s="8"/>
      <c r="C454" s="277" t="s">
        <v>1</v>
      </c>
      <c r="D454" s="253"/>
      <c r="E454" s="253"/>
      <c r="F454" s="253"/>
      <c r="G454" s="253"/>
      <c r="H454" s="254"/>
    </row>
    <row r="455" spans="2:8" ht="18.75" customHeight="1">
      <c r="B455" s="9" t="s">
        <v>2</v>
      </c>
      <c r="C455" s="285" t="s">
        <v>3</v>
      </c>
      <c r="D455" s="265"/>
      <c r="E455" s="265"/>
      <c r="F455" s="265"/>
      <c r="G455" s="265"/>
      <c r="H455" s="276"/>
    </row>
    <row r="456" spans="2:8" ht="32.25" customHeight="1">
      <c r="B456" s="1" t="s">
        <v>4</v>
      </c>
      <c r="C456" s="271" t="s">
        <v>5</v>
      </c>
      <c r="D456" s="253"/>
      <c r="E456" s="253"/>
      <c r="F456" s="253"/>
      <c r="G456" s="253"/>
      <c r="H456" s="254"/>
    </row>
    <row r="457" spans="2:8" ht="32.4" customHeight="1">
      <c r="B457" s="1" t="s">
        <v>6</v>
      </c>
      <c r="C457" s="278" t="s">
        <v>7</v>
      </c>
      <c r="D457" s="254"/>
      <c r="E457" s="11" t="s">
        <v>8</v>
      </c>
      <c r="F457" s="271" t="s">
        <v>9</v>
      </c>
      <c r="G457" s="253"/>
      <c r="H457" s="254"/>
    </row>
    <row r="458" spans="2:8" ht="88.95" customHeight="1">
      <c r="B458" s="1" t="s">
        <v>10</v>
      </c>
      <c r="C458" s="270" t="str">
        <f>'INVENTARIO CAJA 1'!E36</f>
        <v>Parte policial Nro. 2026032809402780510, Hoja de Ingreso y Salida Nro. 0002062, entregado al señor VALERA VILLAVICENCIO CHISTIAN, con cédula 1726674011 del Vehiculo Tipo CAMIÓN marca JAC, color BLANCO con placas TBB2616, por ACCIDENTE DE TRANSITO.</v>
      </c>
      <c r="D458" s="253"/>
      <c r="E458" s="253"/>
      <c r="F458" s="253"/>
      <c r="G458" s="253"/>
      <c r="H458" s="254"/>
    </row>
    <row r="459" spans="2:8" ht="28.2" customHeight="1">
      <c r="B459" s="1" t="s">
        <v>12</v>
      </c>
      <c r="C459" s="272" t="s">
        <v>98</v>
      </c>
      <c r="D459" s="253"/>
      <c r="E459" s="253"/>
      <c r="F459" s="253"/>
      <c r="G459" s="253"/>
      <c r="H459" s="254"/>
    </row>
    <row r="460" spans="2:8" ht="25.2" customHeight="1">
      <c r="B460" s="1" t="s">
        <v>14</v>
      </c>
      <c r="C460" s="284">
        <f>'INVENTARIO CAJA 1'!F36</f>
        <v>46109</v>
      </c>
      <c r="D460" s="254"/>
      <c r="E460" s="3" t="s">
        <v>15</v>
      </c>
      <c r="F460" s="284">
        <f>'INVENTARIO CAJA 1'!G36</f>
        <v>46156</v>
      </c>
      <c r="G460" s="253"/>
      <c r="H460" s="254"/>
    </row>
    <row r="461" spans="2:8" ht="22.5" customHeight="1">
      <c r="B461" s="279" t="s">
        <v>16</v>
      </c>
      <c r="C461" s="272" t="s">
        <v>17</v>
      </c>
      <c r="D461" s="262"/>
      <c r="E461" s="272" t="s">
        <v>18</v>
      </c>
      <c r="F461" s="262"/>
      <c r="G461" s="3" t="s">
        <v>19</v>
      </c>
      <c r="H461" s="3"/>
    </row>
    <row r="462" spans="2:8" ht="17.25" customHeight="1">
      <c r="B462" s="280"/>
      <c r="C462" s="273"/>
      <c r="D462" s="274"/>
      <c r="E462" s="273"/>
      <c r="F462" s="274"/>
      <c r="G462" s="3" t="s">
        <v>20</v>
      </c>
      <c r="H462" s="3" t="s">
        <v>21</v>
      </c>
    </row>
    <row r="463" spans="2:8" ht="17.25" customHeight="1">
      <c r="B463" s="281"/>
      <c r="C463" s="275"/>
      <c r="D463" s="276"/>
      <c r="E463" s="275"/>
      <c r="F463" s="276"/>
      <c r="G463" s="3" t="s">
        <v>22</v>
      </c>
      <c r="H463" s="3"/>
    </row>
    <row r="464" spans="2:8" ht="25.8" customHeight="1">
      <c r="B464" s="279" t="s">
        <v>23</v>
      </c>
      <c r="C464" s="283" t="s">
        <v>24</v>
      </c>
      <c r="D464" s="272" t="s">
        <v>25</v>
      </c>
      <c r="E464" s="3" t="s">
        <v>26</v>
      </c>
      <c r="F464" s="3"/>
      <c r="G464" s="3" t="s">
        <v>27</v>
      </c>
      <c r="H464" s="12">
        <f>'INVENTARIO CAJA 1'!H36</f>
        <v>13</v>
      </c>
    </row>
    <row r="465" spans="2:8" ht="27.6" customHeight="1">
      <c r="B465" s="281"/>
      <c r="C465" s="275"/>
      <c r="D465" s="281"/>
      <c r="E465" s="3" t="s">
        <v>28</v>
      </c>
      <c r="F465" s="3" t="s">
        <v>29</v>
      </c>
      <c r="G465" s="3" t="s">
        <v>30</v>
      </c>
      <c r="H465" s="12" t="str">
        <f>IF('INVENTARIO CAJA 1'!D36&lt;&gt;"",'INVENTARIO CAJA 1'!D36,"1/1")</f>
        <v>1/1</v>
      </c>
    </row>
    <row r="468" spans="2:8" ht="61.2" customHeight="1">
      <c r="B468" s="7"/>
      <c r="C468" s="282" t="s">
        <v>35</v>
      </c>
      <c r="D468" s="269"/>
      <c r="E468" s="269"/>
      <c r="F468" s="269"/>
      <c r="G468" s="269"/>
      <c r="H468" s="262"/>
    </row>
    <row r="469" spans="2:8" ht="31.8" customHeight="1">
      <c r="B469" s="8"/>
      <c r="C469" s="277" t="s">
        <v>1</v>
      </c>
      <c r="D469" s="253"/>
      <c r="E469" s="253"/>
      <c r="F469" s="253"/>
      <c r="G469" s="253"/>
      <c r="H469" s="254"/>
    </row>
    <row r="470" spans="2:8" ht="18.75" customHeight="1">
      <c r="B470" s="9" t="s">
        <v>2</v>
      </c>
      <c r="C470" s="285" t="s">
        <v>3</v>
      </c>
      <c r="D470" s="265"/>
      <c r="E470" s="265"/>
      <c r="F470" s="265"/>
      <c r="G470" s="265"/>
      <c r="H470" s="276"/>
    </row>
    <row r="471" spans="2:8" ht="32.25" customHeight="1">
      <c r="B471" s="1" t="s">
        <v>4</v>
      </c>
      <c r="C471" s="271" t="s">
        <v>5</v>
      </c>
      <c r="D471" s="253"/>
      <c r="E471" s="253"/>
      <c r="F471" s="253"/>
      <c r="G471" s="253"/>
      <c r="H471" s="254"/>
    </row>
    <row r="472" spans="2:8" ht="32.4" customHeight="1">
      <c r="B472" s="1" t="s">
        <v>6</v>
      </c>
      <c r="C472" s="278" t="s">
        <v>7</v>
      </c>
      <c r="D472" s="254"/>
      <c r="E472" s="11" t="s">
        <v>8</v>
      </c>
      <c r="F472" s="271" t="s">
        <v>9</v>
      </c>
      <c r="G472" s="253"/>
      <c r="H472" s="254"/>
    </row>
    <row r="473" spans="2:8" ht="88.95" customHeight="1">
      <c r="B473" s="1" t="s">
        <v>10</v>
      </c>
      <c r="C473" s="270" t="str">
        <f>'INVENTARIO CAJA 1'!E37</f>
        <v>Parte policial Nro. 2026040610455152911, Hoja de Ingreso y Salida Nro. 0002065, entregado al señor GUANOQUIZA VALIENTE MILTON PATRICIO, con cédula 0502919780 del Vehiculo Tipo AUTOBUS marca HINO, color AZUL con placas TAT0311, por ART. 386 INCISO 3 #1.</v>
      </c>
      <c r="D473" s="253"/>
      <c r="E473" s="253"/>
      <c r="F473" s="253"/>
      <c r="G473" s="253"/>
      <c r="H473" s="254"/>
    </row>
    <row r="474" spans="2:8" ht="28.2" customHeight="1">
      <c r="B474" s="1" t="s">
        <v>12</v>
      </c>
      <c r="C474" s="272" t="s">
        <v>99</v>
      </c>
      <c r="D474" s="253"/>
      <c r="E474" s="253"/>
      <c r="F474" s="253"/>
      <c r="G474" s="253"/>
      <c r="H474" s="254"/>
    </row>
    <row r="475" spans="2:8" ht="25.2" customHeight="1">
      <c r="B475" s="1" t="s">
        <v>14</v>
      </c>
      <c r="C475" s="284">
        <f>'INVENTARIO CAJA 1'!F37</f>
        <v>46117</v>
      </c>
      <c r="D475" s="254"/>
      <c r="E475" s="3" t="s">
        <v>15</v>
      </c>
      <c r="F475" s="284">
        <f>'INVENTARIO CAJA 1'!G37</f>
        <v>46137</v>
      </c>
      <c r="G475" s="253"/>
      <c r="H475" s="254"/>
    </row>
    <row r="476" spans="2:8" ht="22.5" customHeight="1">
      <c r="B476" s="279" t="s">
        <v>16</v>
      </c>
      <c r="C476" s="272" t="s">
        <v>17</v>
      </c>
      <c r="D476" s="262"/>
      <c r="E476" s="272" t="s">
        <v>18</v>
      </c>
      <c r="F476" s="262"/>
      <c r="G476" s="3" t="s">
        <v>19</v>
      </c>
      <c r="H476" s="3"/>
    </row>
    <row r="477" spans="2:8" ht="17.25" customHeight="1">
      <c r="B477" s="280"/>
      <c r="C477" s="273"/>
      <c r="D477" s="274"/>
      <c r="E477" s="273"/>
      <c r="F477" s="274"/>
      <c r="G477" s="3" t="s">
        <v>20</v>
      </c>
      <c r="H477" s="3" t="s">
        <v>21</v>
      </c>
    </row>
    <row r="478" spans="2:8" ht="17.25" customHeight="1">
      <c r="B478" s="281"/>
      <c r="C478" s="275"/>
      <c r="D478" s="276"/>
      <c r="E478" s="275"/>
      <c r="F478" s="276"/>
      <c r="G478" s="3" t="s">
        <v>22</v>
      </c>
      <c r="H478" s="3"/>
    </row>
    <row r="479" spans="2:8" ht="25.8" customHeight="1">
      <c r="B479" s="279" t="s">
        <v>23</v>
      </c>
      <c r="C479" s="283" t="s">
        <v>24</v>
      </c>
      <c r="D479" s="272" t="s">
        <v>25</v>
      </c>
      <c r="E479" s="3" t="s">
        <v>26</v>
      </c>
      <c r="F479" s="3"/>
      <c r="G479" s="3" t="s">
        <v>27</v>
      </c>
      <c r="H479" s="12">
        <f>'INVENTARIO CAJA 1'!H37</f>
        <v>25</v>
      </c>
    </row>
    <row r="480" spans="2:8" ht="27.6" customHeight="1">
      <c r="B480" s="281"/>
      <c r="C480" s="275"/>
      <c r="D480" s="281"/>
      <c r="E480" s="3" t="s">
        <v>28</v>
      </c>
      <c r="F480" s="3" t="s">
        <v>29</v>
      </c>
      <c r="G480" s="3" t="s">
        <v>30</v>
      </c>
      <c r="H480" s="12" t="str">
        <f>IF('INVENTARIO CAJA 1'!D37&lt;&gt;"",'INVENTARIO CAJA 1'!D37,"1/1")</f>
        <v>1/1</v>
      </c>
    </row>
    <row r="483" spans="2:8" ht="61.2" customHeight="1">
      <c r="B483" s="7"/>
      <c r="C483" s="282" t="s">
        <v>35</v>
      </c>
      <c r="D483" s="269"/>
      <c r="E483" s="269"/>
      <c r="F483" s="269"/>
      <c r="G483" s="269"/>
      <c r="H483" s="262"/>
    </row>
    <row r="484" spans="2:8" ht="31.8" customHeight="1">
      <c r="B484" s="8"/>
      <c r="C484" s="277" t="s">
        <v>1</v>
      </c>
      <c r="D484" s="253"/>
      <c r="E484" s="253"/>
      <c r="F484" s="253"/>
      <c r="G484" s="253"/>
      <c r="H484" s="254"/>
    </row>
    <row r="485" spans="2:8" ht="18.75" customHeight="1">
      <c r="B485" s="9" t="s">
        <v>2</v>
      </c>
      <c r="C485" s="285" t="s">
        <v>3</v>
      </c>
      <c r="D485" s="265"/>
      <c r="E485" s="265"/>
      <c r="F485" s="265"/>
      <c r="G485" s="265"/>
      <c r="H485" s="276"/>
    </row>
    <row r="486" spans="2:8" ht="32.25" customHeight="1">
      <c r="B486" s="1" t="s">
        <v>4</v>
      </c>
      <c r="C486" s="271" t="s">
        <v>5</v>
      </c>
      <c r="D486" s="253"/>
      <c r="E486" s="253"/>
      <c r="F486" s="253"/>
      <c r="G486" s="253"/>
      <c r="H486" s="254"/>
    </row>
    <row r="487" spans="2:8" ht="32.4" customHeight="1">
      <c r="B487" s="1" t="s">
        <v>6</v>
      </c>
      <c r="C487" s="278" t="s">
        <v>7</v>
      </c>
      <c r="D487" s="254"/>
      <c r="E487" s="11" t="s">
        <v>8</v>
      </c>
      <c r="F487" s="271" t="s">
        <v>9</v>
      </c>
      <c r="G487" s="253"/>
      <c r="H487" s="254"/>
    </row>
    <row r="488" spans="2:8" ht="88.95" customHeight="1">
      <c r="B488" s="1" t="s">
        <v>10</v>
      </c>
      <c r="C488" s="270" t="str">
        <f>'INVENTARIO CAJA 1'!E38</f>
        <v>Parte policial Nro. 202604100449574102, Hoja de Ingreso y Salida Nro. 0002066, entregado al señor PAEZ MIÑIZ JORGE REINALDO, con cédula 1723853600 del Vehiculo Tipo CAMIÓN marca CHEVROLET, color BLANCO con placas PAA8922, por ACCIDENTE DE TRANSITO.</v>
      </c>
      <c r="D488" s="253"/>
      <c r="E488" s="253"/>
      <c r="F488" s="253"/>
      <c r="G488" s="253"/>
      <c r="H488" s="254"/>
    </row>
    <row r="489" spans="2:8" ht="28.2" customHeight="1">
      <c r="B489" s="1" t="s">
        <v>12</v>
      </c>
      <c r="C489" s="272" t="s">
        <v>100</v>
      </c>
      <c r="D489" s="253"/>
      <c r="E489" s="253"/>
      <c r="F489" s="253"/>
      <c r="G489" s="253"/>
      <c r="H489" s="254"/>
    </row>
    <row r="490" spans="2:8" ht="25.2" customHeight="1">
      <c r="B490" s="1" t="s">
        <v>14</v>
      </c>
      <c r="C490" s="284">
        <f>'INVENTARIO CAJA 1'!F38</f>
        <v>46122</v>
      </c>
      <c r="D490" s="254"/>
      <c r="E490" s="3" t="s">
        <v>15</v>
      </c>
      <c r="F490" s="284">
        <f>'INVENTARIO CAJA 1'!G38</f>
        <v>46134</v>
      </c>
      <c r="G490" s="253"/>
      <c r="H490" s="254"/>
    </row>
    <row r="491" spans="2:8" ht="22.5" customHeight="1">
      <c r="B491" s="279" t="s">
        <v>16</v>
      </c>
      <c r="C491" s="272" t="s">
        <v>17</v>
      </c>
      <c r="D491" s="262"/>
      <c r="E491" s="272" t="s">
        <v>18</v>
      </c>
      <c r="F491" s="262"/>
      <c r="G491" s="3" t="s">
        <v>19</v>
      </c>
      <c r="H491" s="3"/>
    </row>
    <row r="492" spans="2:8" ht="17.25" customHeight="1">
      <c r="B492" s="280"/>
      <c r="C492" s="273"/>
      <c r="D492" s="274"/>
      <c r="E492" s="273"/>
      <c r="F492" s="274"/>
      <c r="G492" s="3" t="s">
        <v>20</v>
      </c>
      <c r="H492" s="3" t="s">
        <v>21</v>
      </c>
    </row>
    <row r="493" spans="2:8" ht="17.25" customHeight="1">
      <c r="B493" s="281"/>
      <c r="C493" s="275"/>
      <c r="D493" s="276"/>
      <c r="E493" s="275"/>
      <c r="F493" s="276"/>
      <c r="G493" s="3" t="s">
        <v>22</v>
      </c>
      <c r="H493" s="3"/>
    </row>
    <row r="494" spans="2:8" ht="25.8" customHeight="1">
      <c r="B494" s="279" t="s">
        <v>23</v>
      </c>
      <c r="C494" s="283" t="s">
        <v>24</v>
      </c>
      <c r="D494" s="272" t="s">
        <v>25</v>
      </c>
      <c r="E494" s="3" t="s">
        <v>26</v>
      </c>
      <c r="F494" s="3"/>
      <c r="G494" s="3" t="s">
        <v>27</v>
      </c>
      <c r="H494" s="12">
        <f>'INVENTARIO CAJA 1'!H38</f>
        <v>20</v>
      </c>
    </row>
    <row r="495" spans="2:8" ht="27.6" customHeight="1">
      <c r="B495" s="281"/>
      <c r="C495" s="275"/>
      <c r="D495" s="281"/>
      <c r="E495" s="3" t="s">
        <v>28</v>
      </c>
      <c r="F495" s="3" t="s">
        <v>29</v>
      </c>
      <c r="G495" s="3" t="s">
        <v>30</v>
      </c>
      <c r="H495" s="12" t="str">
        <f>IF('INVENTARIO CAJA 1'!D38&lt;&gt;"",'INVENTARIO CAJA 1'!D38,"1/1")</f>
        <v>1/1</v>
      </c>
    </row>
    <row r="498" spans="2:8" ht="61.2" customHeight="1">
      <c r="B498" s="7"/>
      <c r="C498" s="282" t="s">
        <v>35</v>
      </c>
      <c r="D498" s="269"/>
      <c r="E498" s="269"/>
      <c r="F498" s="269"/>
      <c r="G498" s="269"/>
      <c r="H498" s="262"/>
    </row>
    <row r="499" spans="2:8" ht="31.8" customHeight="1">
      <c r="B499" s="8"/>
      <c r="C499" s="277" t="s">
        <v>1</v>
      </c>
      <c r="D499" s="253"/>
      <c r="E499" s="253"/>
      <c r="F499" s="253"/>
      <c r="G499" s="253"/>
      <c r="H499" s="254"/>
    </row>
    <row r="500" spans="2:8" ht="18.75" customHeight="1">
      <c r="B500" s="9" t="s">
        <v>2</v>
      </c>
      <c r="C500" s="285" t="s">
        <v>3</v>
      </c>
      <c r="D500" s="265"/>
      <c r="E500" s="265"/>
      <c r="F500" s="265"/>
      <c r="G500" s="265"/>
      <c r="H500" s="276"/>
    </row>
    <row r="501" spans="2:8" ht="32.25" customHeight="1">
      <c r="B501" s="1" t="s">
        <v>4</v>
      </c>
      <c r="C501" s="271" t="s">
        <v>5</v>
      </c>
      <c r="D501" s="253"/>
      <c r="E501" s="253"/>
      <c r="F501" s="253"/>
      <c r="G501" s="253"/>
      <c r="H501" s="254"/>
    </row>
    <row r="502" spans="2:8" ht="32.4" customHeight="1">
      <c r="B502" s="1" t="s">
        <v>6</v>
      </c>
      <c r="C502" s="278" t="s">
        <v>7</v>
      </c>
      <c r="D502" s="254"/>
      <c r="E502" s="11" t="s">
        <v>8</v>
      </c>
      <c r="F502" s="271" t="s">
        <v>9</v>
      </c>
      <c r="G502" s="253"/>
      <c r="H502" s="254"/>
    </row>
    <row r="503" spans="2:8" ht="88.95" customHeight="1">
      <c r="B503" s="1" t="s">
        <v>10</v>
      </c>
      <c r="C503" s="270" t="str">
        <f>'INVENTARIO CAJA 1'!E39</f>
        <v>Parte policial Nro. 2026041603160431611, Hoja de Ingreso y Salida Nro. 0002068, entregado al señor CORTEZ ROGEL ELIZABETH, con cédula 0802740647 del Vehiculo Tipo PLATAFORMA marca HINO, color BLANCO con placas LBX0099, por ACCIDENTE DE TRANSITO.</v>
      </c>
      <c r="D503" s="253"/>
      <c r="E503" s="253"/>
      <c r="F503" s="253"/>
      <c r="G503" s="253"/>
      <c r="H503" s="254"/>
    </row>
    <row r="504" spans="2:8" ht="28.2" customHeight="1">
      <c r="B504" s="1" t="s">
        <v>12</v>
      </c>
      <c r="C504" s="272" t="s">
        <v>101</v>
      </c>
      <c r="D504" s="253"/>
      <c r="E504" s="253"/>
      <c r="F504" s="253"/>
      <c r="G504" s="253"/>
      <c r="H504" s="254"/>
    </row>
    <row r="505" spans="2:8" ht="25.2" customHeight="1">
      <c r="B505" s="1" t="s">
        <v>14</v>
      </c>
      <c r="C505" s="284">
        <f>'INVENTARIO CAJA 1'!F39</f>
        <v>46128</v>
      </c>
      <c r="D505" s="254"/>
      <c r="E505" s="3" t="s">
        <v>15</v>
      </c>
      <c r="F505" s="284">
        <f>'INVENTARIO CAJA 1'!G39</f>
        <v>46162</v>
      </c>
      <c r="G505" s="253"/>
      <c r="H505" s="254"/>
    </row>
    <row r="506" spans="2:8" ht="22.5" customHeight="1">
      <c r="B506" s="279" t="s">
        <v>16</v>
      </c>
      <c r="C506" s="272" t="s">
        <v>17</v>
      </c>
      <c r="D506" s="262"/>
      <c r="E506" s="272" t="s">
        <v>18</v>
      </c>
      <c r="F506" s="262"/>
      <c r="G506" s="3" t="s">
        <v>19</v>
      </c>
      <c r="H506" s="3"/>
    </row>
    <row r="507" spans="2:8" ht="17.25" customHeight="1">
      <c r="B507" s="280"/>
      <c r="C507" s="273"/>
      <c r="D507" s="274"/>
      <c r="E507" s="273"/>
      <c r="F507" s="274"/>
      <c r="G507" s="3" t="s">
        <v>20</v>
      </c>
      <c r="H507" s="3" t="s">
        <v>21</v>
      </c>
    </row>
    <row r="508" spans="2:8" ht="17.25" customHeight="1">
      <c r="B508" s="281"/>
      <c r="C508" s="275"/>
      <c r="D508" s="276"/>
      <c r="E508" s="275"/>
      <c r="F508" s="276"/>
      <c r="G508" s="3" t="s">
        <v>22</v>
      </c>
      <c r="H508" s="3"/>
    </row>
    <row r="509" spans="2:8" ht="25.8" customHeight="1">
      <c r="B509" s="279" t="s">
        <v>23</v>
      </c>
      <c r="C509" s="283" t="s">
        <v>24</v>
      </c>
      <c r="D509" s="272" t="s">
        <v>25</v>
      </c>
      <c r="E509" s="3" t="s">
        <v>26</v>
      </c>
      <c r="F509" s="3"/>
      <c r="G509" s="3" t="s">
        <v>27</v>
      </c>
      <c r="H509" s="12">
        <f>'INVENTARIO CAJA 1'!H39</f>
        <v>26</v>
      </c>
    </row>
    <row r="510" spans="2:8" ht="27.6" customHeight="1">
      <c r="B510" s="281"/>
      <c r="C510" s="275"/>
      <c r="D510" s="281"/>
      <c r="E510" s="3" t="s">
        <v>28</v>
      </c>
      <c r="F510" s="3" t="s">
        <v>29</v>
      </c>
      <c r="G510" s="3" t="s">
        <v>30</v>
      </c>
      <c r="H510" s="12" t="str">
        <f>IF('INVENTARIO CAJA 1'!D39&lt;&gt;"",'INVENTARIO CAJA 1'!D39,"1/1")</f>
        <v>1/1</v>
      </c>
    </row>
    <row r="513" spans="2:8" ht="61.2" customHeight="1">
      <c r="B513" s="7"/>
      <c r="C513" s="282" t="s">
        <v>35</v>
      </c>
      <c r="D513" s="269"/>
      <c r="E513" s="269"/>
      <c r="F513" s="269"/>
      <c r="G513" s="269"/>
      <c r="H513" s="262"/>
    </row>
    <row r="514" spans="2:8" ht="31.8" customHeight="1">
      <c r="B514" s="8"/>
      <c r="C514" s="277" t="s">
        <v>1</v>
      </c>
      <c r="D514" s="253"/>
      <c r="E514" s="253"/>
      <c r="F514" s="253"/>
      <c r="G514" s="253"/>
      <c r="H514" s="254"/>
    </row>
    <row r="515" spans="2:8" ht="18.75" customHeight="1">
      <c r="B515" s="9" t="s">
        <v>2</v>
      </c>
      <c r="C515" s="285" t="s">
        <v>3</v>
      </c>
      <c r="D515" s="265"/>
      <c r="E515" s="265"/>
      <c r="F515" s="265"/>
      <c r="G515" s="265"/>
      <c r="H515" s="276"/>
    </row>
    <row r="516" spans="2:8" ht="32.25" customHeight="1">
      <c r="B516" s="1" t="s">
        <v>4</v>
      </c>
      <c r="C516" s="271" t="s">
        <v>5</v>
      </c>
      <c r="D516" s="253"/>
      <c r="E516" s="253"/>
      <c r="F516" s="253"/>
      <c r="G516" s="253"/>
      <c r="H516" s="254"/>
    </row>
    <row r="517" spans="2:8" ht="32.4" customHeight="1">
      <c r="B517" s="1" t="s">
        <v>6</v>
      </c>
      <c r="C517" s="278" t="s">
        <v>7</v>
      </c>
      <c r="D517" s="254"/>
      <c r="E517" s="11" t="s">
        <v>8</v>
      </c>
      <c r="F517" s="271" t="s">
        <v>9</v>
      </c>
      <c r="G517" s="253"/>
      <c r="H517" s="254"/>
    </row>
    <row r="518" spans="2:8" ht="88.95" customHeight="1">
      <c r="B518" s="1" t="s">
        <v>10</v>
      </c>
      <c r="C518" s="270" t="str">
        <f>'INVENTARIO CAJA 1'!E40</f>
        <v>Parte policial Nro. 2026042208143572112, Hoja de Ingreso y Salida Nro. 0002069, entregado al señor PINANGO JUAN FRANCISCO, con cédula 1709076234 del Vehiculo Tipo TRACTO CAMIÓN marca FOTON, color DORADO con placas XAA1507, por ACCIDENTE DE TRANSITO.</v>
      </c>
      <c r="D518" s="253"/>
      <c r="E518" s="253"/>
      <c r="F518" s="253"/>
      <c r="G518" s="253"/>
      <c r="H518" s="254"/>
    </row>
    <row r="519" spans="2:8" ht="28.2" customHeight="1">
      <c r="B519" s="1" t="s">
        <v>12</v>
      </c>
      <c r="C519" s="272" t="s">
        <v>102</v>
      </c>
      <c r="D519" s="253"/>
      <c r="E519" s="253"/>
      <c r="F519" s="253"/>
      <c r="G519" s="253"/>
      <c r="H519" s="254"/>
    </row>
    <row r="520" spans="2:8" ht="25.2" customHeight="1">
      <c r="B520" s="1" t="s">
        <v>14</v>
      </c>
      <c r="C520" s="284">
        <f>'INVENTARIO CAJA 1'!F40</f>
        <v>46134</v>
      </c>
      <c r="D520" s="254"/>
      <c r="E520" s="3" t="s">
        <v>15</v>
      </c>
      <c r="F520" s="284">
        <f>'INVENTARIO CAJA 1'!G40</f>
        <v>46139</v>
      </c>
      <c r="G520" s="253"/>
      <c r="H520" s="254"/>
    </row>
    <row r="521" spans="2:8" ht="22.5" customHeight="1">
      <c r="B521" s="279" t="s">
        <v>16</v>
      </c>
      <c r="C521" s="272" t="s">
        <v>17</v>
      </c>
      <c r="D521" s="262"/>
      <c r="E521" s="272" t="s">
        <v>18</v>
      </c>
      <c r="F521" s="262"/>
      <c r="G521" s="3" t="s">
        <v>19</v>
      </c>
      <c r="H521" s="3"/>
    </row>
    <row r="522" spans="2:8" ht="17.25" customHeight="1">
      <c r="B522" s="280"/>
      <c r="C522" s="273"/>
      <c r="D522" s="274"/>
      <c r="E522" s="273"/>
      <c r="F522" s="274"/>
      <c r="G522" s="3" t="s">
        <v>20</v>
      </c>
      <c r="H522" s="3" t="s">
        <v>21</v>
      </c>
    </row>
    <row r="523" spans="2:8" ht="17.25" customHeight="1">
      <c r="B523" s="281"/>
      <c r="C523" s="275"/>
      <c r="D523" s="276"/>
      <c r="E523" s="275"/>
      <c r="F523" s="276"/>
      <c r="G523" s="3" t="s">
        <v>22</v>
      </c>
      <c r="H523" s="3"/>
    </row>
    <row r="524" spans="2:8" ht="25.8" customHeight="1">
      <c r="B524" s="279" t="s">
        <v>23</v>
      </c>
      <c r="C524" s="283" t="s">
        <v>24</v>
      </c>
      <c r="D524" s="272" t="s">
        <v>25</v>
      </c>
      <c r="E524" s="3" t="s">
        <v>26</v>
      </c>
      <c r="F524" s="3"/>
      <c r="G524" s="3" t="s">
        <v>27</v>
      </c>
      <c r="H524" s="12">
        <f>'INVENTARIO CAJA 1'!H40</f>
        <v>15</v>
      </c>
    </row>
    <row r="525" spans="2:8" ht="27.6" customHeight="1">
      <c r="B525" s="281"/>
      <c r="C525" s="275"/>
      <c r="D525" s="281"/>
      <c r="E525" s="3" t="s">
        <v>28</v>
      </c>
      <c r="F525" s="3" t="s">
        <v>29</v>
      </c>
      <c r="G525" s="3" t="s">
        <v>30</v>
      </c>
      <c r="H525" s="12" t="str">
        <f>IF('INVENTARIO CAJA 1'!D40&lt;&gt;"",'INVENTARIO CAJA 1'!D40,"1/1")</f>
        <v>1/1</v>
      </c>
    </row>
    <row r="528" spans="2:8" ht="61.2" customHeight="1">
      <c r="B528" s="7"/>
      <c r="C528" s="282" t="s">
        <v>35</v>
      </c>
      <c r="D528" s="269"/>
      <c r="E528" s="269"/>
      <c r="F528" s="269"/>
      <c r="G528" s="269"/>
      <c r="H528" s="262"/>
    </row>
    <row r="529" spans="2:8" ht="31.8" customHeight="1">
      <c r="B529" s="8"/>
      <c r="C529" s="277" t="s">
        <v>1</v>
      </c>
      <c r="D529" s="253"/>
      <c r="E529" s="253"/>
      <c r="F529" s="253"/>
      <c r="G529" s="253"/>
      <c r="H529" s="254"/>
    </row>
    <row r="530" spans="2:8" ht="18.75" customHeight="1">
      <c r="B530" s="9" t="s">
        <v>2</v>
      </c>
      <c r="C530" s="285" t="s">
        <v>3</v>
      </c>
      <c r="D530" s="265"/>
      <c r="E530" s="265"/>
      <c r="F530" s="265"/>
      <c r="G530" s="265"/>
      <c r="H530" s="276"/>
    </row>
    <row r="531" spans="2:8" ht="32.25" customHeight="1">
      <c r="B531" s="1" t="s">
        <v>4</v>
      </c>
      <c r="C531" s="271" t="s">
        <v>5</v>
      </c>
      <c r="D531" s="253"/>
      <c r="E531" s="253"/>
      <c r="F531" s="253"/>
      <c r="G531" s="253"/>
      <c r="H531" s="254"/>
    </row>
    <row r="532" spans="2:8" ht="32.4" customHeight="1">
      <c r="B532" s="1" t="s">
        <v>6</v>
      </c>
      <c r="C532" s="278" t="s">
        <v>7</v>
      </c>
      <c r="D532" s="254"/>
      <c r="E532" s="11" t="s">
        <v>8</v>
      </c>
      <c r="F532" s="271" t="s">
        <v>9</v>
      </c>
      <c r="G532" s="253"/>
      <c r="H532" s="254"/>
    </row>
    <row r="533" spans="2:8" ht="88.95" customHeight="1">
      <c r="B533" s="1" t="s">
        <v>10</v>
      </c>
      <c r="C533" s="270" t="str">
        <f>'INVENTARIO CAJA 1'!E41</f>
        <v>Parte policial Nro. 2026042310012581806, Hoja de Ingreso y Salida Nro. 0002070, entregado al señor LEVERONE ARBOLEDA GARY CRISTHOPER, con cédula 0802813675 del Vehiculo Tipo CAMIÓN marca HINO, color BLANCO con placas TDV0954, por ACCIDENTE DE TRANSITO.</v>
      </c>
      <c r="D533" s="253"/>
      <c r="E533" s="253"/>
      <c r="F533" s="253"/>
      <c r="G533" s="253"/>
      <c r="H533" s="254"/>
    </row>
    <row r="534" spans="2:8" ht="28.2" customHeight="1">
      <c r="B534" s="1" t="s">
        <v>12</v>
      </c>
      <c r="C534" s="272" t="s">
        <v>103</v>
      </c>
      <c r="D534" s="253"/>
      <c r="E534" s="253"/>
      <c r="F534" s="253"/>
      <c r="G534" s="253"/>
      <c r="H534" s="254"/>
    </row>
    <row r="535" spans="2:8" ht="25.2" customHeight="1">
      <c r="B535" s="1" t="s">
        <v>14</v>
      </c>
      <c r="C535" s="284">
        <f>'INVENTARIO CAJA 1'!F41</f>
        <v>46135</v>
      </c>
      <c r="D535" s="254"/>
      <c r="E535" s="3" t="s">
        <v>15</v>
      </c>
      <c r="F535" s="284">
        <f>'INVENTARIO CAJA 1'!G41</f>
        <v>46148</v>
      </c>
      <c r="G535" s="253"/>
      <c r="H535" s="254"/>
    </row>
    <row r="536" spans="2:8" ht="22.5" customHeight="1">
      <c r="B536" s="279" t="s">
        <v>16</v>
      </c>
      <c r="C536" s="272" t="s">
        <v>17</v>
      </c>
      <c r="D536" s="262"/>
      <c r="E536" s="272" t="s">
        <v>18</v>
      </c>
      <c r="F536" s="262"/>
      <c r="G536" s="3" t="s">
        <v>19</v>
      </c>
      <c r="H536" s="3"/>
    </row>
    <row r="537" spans="2:8" ht="17.25" customHeight="1">
      <c r="B537" s="280"/>
      <c r="C537" s="273"/>
      <c r="D537" s="274"/>
      <c r="E537" s="273"/>
      <c r="F537" s="274"/>
      <c r="G537" s="3" t="s">
        <v>20</v>
      </c>
      <c r="H537" s="3" t="s">
        <v>21</v>
      </c>
    </row>
    <row r="538" spans="2:8" ht="17.25" customHeight="1">
      <c r="B538" s="281"/>
      <c r="C538" s="275"/>
      <c r="D538" s="276"/>
      <c r="E538" s="275"/>
      <c r="F538" s="276"/>
      <c r="G538" s="3" t="s">
        <v>22</v>
      </c>
      <c r="H538" s="3"/>
    </row>
    <row r="539" spans="2:8" ht="25.8" customHeight="1">
      <c r="B539" s="279" t="s">
        <v>23</v>
      </c>
      <c r="C539" s="283" t="s">
        <v>24</v>
      </c>
      <c r="D539" s="272" t="s">
        <v>25</v>
      </c>
      <c r="E539" s="3" t="s">
        <v>26</v>
      </c>
      <c r="F539" s="3"/>
      <c r="G539" s="3" t="s">
        <v>27</v>
      </c>
      <c r="H539" s="12">
        <f>'INVENTARIO CAJA 1'!H41</f>
        <v>35</v>
      </c>
    </row>
    <row r="540" spans="2:8" ht="27.6" customHeight="1">
      <c r="B540" s="281"/>
      <c r="C540" s="275"/>
      <c r="D540" s="281"/>
      <c r="E540" s="3" t="s">
        <v>28</v>
      </c>
      <c r="F540" s="3" t="s">
        <v>29</v>
      </c>
      <c r="G540" s="3" t="s">
        <v>30</v>
      </c>
      <c r="H540" s="12" t="str">
        <f>IF('INVENTARIO CAJA 1'!D41&lt;&gt;"",'INVENTARIO CAJA 1'!D41,"1/1")</f>
        <v>1/1</v>
      </c>
    </row>
    <row r="543" spans="2:8" ht="61.2" customHeight="1">
      <c r="B543" s="7"/>
      <c r="C543" s="282" t="s">
        <v>35</v>
      </c>
      <c r="D543" s="269"/>
      <c r="E543" s="269"/>
      <c r="F543" s="269"/>
      <c r="G543" s="269"/>
      <c r="H543" s="262"/>
    </row>
    <row r="544" spans="2:8" ht="31.8" customHeight="1">
      <c r="B544" s="8"/>
      <c r="C544" s="277" t="s">
        <v>1</v>
      </c>
      <c r="D544" s="253"/>
      <c r="E544" s="253"/>
      <c r="F544" s="253"/>
      <c r="G544" s="253"/>
      <c r="H544" s="254"/>
    </row>
    <row r="545" spans="2:8" ht="18.75" customHeight="1">
      <c r="B545" s="9" t="s">
        <v>2</v>
      </c>
      <c r="C545" s="285" t="s">
        <v>3</v>
      </c>
      <c r="D545" s="265"/>
      <c r="E545" s="265"/>
      <c r="F545" s="265"/>
      <c r="G545" s="265"/>
      <c r="H545" s="276"/>
    </row>
    <row r="546" spans="2:8" ht="32.25" customHeight="1">
      <c r="B546" s="1" t="s">
        <v>4</v>
      </c>
      <c r="C546" s="271" t="s">
        <v>5</v>
      </c>
      <c r="D546" s="253"/>
      <c r="E546" s="253"/>
      <c r="F546" s="253"/>
      <c r="G546" s="253"/>
      <c r="H546" s="254"/>
    </row>
    <row r="547" spans="2:8" ht="32.4" customHeight="1">
      <c r="B547" s="1" t="s">
        <v>6</v>
      </c>
      <c r="C547" s="278" t="s">
        <v>7</v>
      </c>
      <c r="D547" s="254"/>
      <c r="E547" s="11" t="s">
        <v>8</v>
      </c>
      <c r="F547" s="271" t="s">
        <v>9</v>
      </c>
      <c r="G547" s="253"/>
      <c r="H547" s="254"/>
    </row>
    <row r="548" spans="2:8" ht="88.95" customHeight="1">
      <c r="B548" s="1" t="s">
        <v>10</v>
      </c>
      <c r="C548" s="270" t="str">
        <f>'INVENTARIO CAJA 1'!E42</f>
        <v>Parte policial Nro. 2026050302104185307, Hoja de Ingreso y Salida Nro. 0002071, entregado al señor BARONA FIALLOS ANGEL GUSTAVO, con cédula 1711484004 del Vehiculo Tipo BUS marca CHEVROLET, color ANARANJADO con placas IAI0267, por ACCIDENTE DE TRANSITO.</v>
      </c>
      <c r="D548" s="253"/>
      <c r="E548" s="253"/>
      <c r="F548" s="253"/>
      <c r="G548" s="253"/>
      <c r="H548" s="254"/>
    </row>
    <row r="549" spans="2:8" ht="28.2" customHeight="1">
      <c r="B549" s="1" t="s">
        <v>12</v>
      </c>
      <c r="C549" s="272" t="s">
        <v>104</v>
      </c>
      <c r="D549" s="253"/>
      <c r="E549" s="253"/>
      <c r="F549" s="253"/>
      <c r="G549" s="253"/>
      <c r="H549" s="254"/>
    </row>
    <row r="550" spans="2:8" ht="25.2" customHeight="1">
      <c r="B550" s="1" t="s">
        <v>14</v>
      </c>
      <c r="C550" s="284">
        <f>'INVENTARIO CAJA 1'!F42</f>
        <v>46145</v>
      </c>
      <c r="D550" s="254"/>
      <c r="E550" s="3" t="s">
        <v>15</v>
      </c>
      <c r="F550" s="284">
        <f>'INVENTARIO CAJA 1'!G42</f>
        <v>46148</v>
      </c>
      <c r="G550" s="253"/>
      <c r="H550" s="254"/>
    </row>
    <row r="551" spans="2:8" ht="22.5" customHeight="1">
      <c r="B551" s="279" t="s">
        <v>16</v>
      </c>
      <c r="C551" s="272" t="s">
        <v>17</v>
      </c>
      <c r="D551" s="262"/>
      <c r="E551" s="272" t="s">
        <v>18</v>
      </c>
      <c r="F551" s="262"/>
      <c r="G551" s="3" t="s">
        <v>19</v>
      </c>
      <c r="H551" s="3"/>
    </row>
    <row r="552" spans="2:8" ht="17.25" customHeight="1">
      <c r="B552" s="280"/>
      <c r="C552" s="273"/>
      <c r="D552" s="274"/>
      <c r="E552" s="273"/>
      <c r="F552" s="274"/>
      <c r="G552" s="3" t="s">
        <v>20</v>
      </c>
      <c r="H552" s="3" t="s">
        <v>21</v>
      </c>
    </row>
    <row r="553" spans="2:8" ht="17.25" customHeight="1">
      <c r="B553" s="281"/>
      <c r="C553" s="275"/>
      <c r="D553" s="276"/>
      <c r="E553" s="275"/>
      <c r="F553" s="276"/>
      <c r="G553" s="3" t="s">
        <v>22</v>
      </c>
      <c r="H553" s="3"/>
    </row>
    <row r="554" spans="2:8" ht="25.8" customHeight="1">
      <c r="B554" s="279" t="s">
        <v>23</v>
      </c>
      <c r="C554" s="283" t="s">
        <v>24</v>
      </c>
      <c r="D554" s="272" t="s">
        <v>25</v>
      </c>
      <c r="E554" s="3" t="s">
        <v>26</v>
      </c>
      <c r="F554" s="3"/>
      <c r="G554" s="3" t="s">
        <v>27</v>
      </c>
      <c r="H554" s="12">
        <f>'INVENTARIO CAJA 1'!H42</f>
        <v>24</v>
      </c>
    </row>
    <row r="555" spans="2:8" ht="27.6" customHeight="1">
      <c r="B555" s="281"/>
      <c r="C555" s="275"/>
      <c r="D555" s="281"/>
      <c r="E555" s="3" t="s">
        <v>28</v>
      </c>
      <c r="F555" s="3" t="s">
        <v>29</v>
      </c>
      <c r="G555" s="3" t="s">
        <v>30</v>
      </c>
      <c r="H555" s="12" t="str">
        <f>IF('INVENTARIO CAJA 1'!D42&lt;&gt;"",'INVENTARIO CAJA 1'!D42,"1/1")</f>
        <v>1/1</v>
      </c>
    </row>
    <row r="558" spans="2:8" ht="61.2" customHeight="1">
      <c r="B558" s="7"/>
      <c r="C558" s="282" t="s">
        <v>35</v>
      </c>
      <c r="D558" s="269"/>
      <c r="E558" s="269"/>
      <c r="F558" s="269"/>
      <c r="G558" s="269"/>
      <c r="H558" s="262"/>
    </row>
    <row r="559" spans="2:8" ht="31.8" customHeight="1">
      <c r="B559" s="8"/>
      <c r="C559" s="277" t="s">
        <v>1</v>
      </c>
      <c r="D559" s="253"/>
      <c r="E559" s="253"/>
      <c r="F559" s="253"/>
      <c r="G559" s="253"/>
      <c r="H559" s="254"/>
    </row>
    <row r="560" spans="2:8" ht="18.75" customHeight="1">
      <c r="B560" s="9" t="s">
        <v>2</v>
      </c>
      <c r="C560" s="285" t="s">
        <v>3</v>
      </c>
      <c r="D560" s="265"/>
      <c r="E560" s="265"/>
      <c r="F560" s="265"/>
      <c r="G560" s="265"/>
      <c r="H560" s="276"/>
    </row>
    <row r="561" spans="2:8" ht="32.25" customHeight="1">
      <c r="B561" s="1" t="s">
        <v>4</v>
      </c>
      <c r="C561" s="271" t="s">
        <v>5</v>
      </c>
      <c r="D561" s="253"/>
      <c r="E561" s="253"/>
      <c r="F561" s="253"/>
      <c r="G561" s="253"/>
      <c r="H561" s="254"/>
    </row>
    <row r="562" spans="2:8" ht="32.4" customHeight="1">
      <c r="B562" s="1" t="s">
        <v>6</v>
      </c>
      <c r="C562" s="278" t="s">
        <v>7</v>
      </c>
      <c r="D562" s="254"/>
      <c r="E562" s="11" t="s">
        <v>8</v>
      </c>
      <c r="F562" s="271" t="s">
        <v>9</v>
      </c>
      <c r="G562" s="253"/>
      <c r="H562" s="254"/>
    </row>
    <row r="563" spans="2:8" ht="88.95" customHeight="1">
      <c r="B563" s="1" t="s">
        <v>10</v>
      </c>
      <c r="C563" s="270" t="str">
        <f>'INVENTARIO CAJA 1'!E43</f>
        <v>Parte policial Nro. 2026050611324782113, Hoja de Ingreso y Salida Nro. 0002072, entregado al señor CAMACHO CAMACHO  RENE WILFRIDO , con cédula 1707682702 del Vehiculo Tipo CAMIÓN marca HINO, color AMARILLO con placas KAA1690, por ACCIDENTE DE TRANSITO.</v>
      </c>
      <c r="D563" s="253"/>
      <c r="E563" s="253"/>
      <c r="F563" s="253"/>
      <c r="G563" s="253"/>
      <c r="H563" s="254"/>
    </row>
    <row r="564" spans="2:8" ht="28.2" customHeight="1">
      <c r="B564" s="1" t="s">
        <v>12</v>
      </c>
      <c r="C564" s="272" t="s">
        <v>105</v>
      </c>
      <c r="D564" s="253"/>
      <c r="E564" s="253"/>
      <c r="F564" s="253"/>
      <c r="G564" s="253"/>
      <c r="H564" s="254"/>
    </row>
    <row r="565" spans="2:8" ht="25.2" customHeight="1">
      <c r="B565" s="1" t="s">
        <v>14</v>
      </c>
      <c r="C565" s="284">
        <f>'INVENTARIO CAJA 1'!F43</f>
        <v>46148</v>
      </c>
      <c r="D565" s="254"/>
      <c r="E565" s="3" t="s">
        <v>15</v>
      </c>
      <c r="F565" s="284">
        <f>'INVENTARIO CAJA 1'!G43</f>
        <v>46162</v>
      </c>
      <c r="G565" s="253"/>
      <c r="H565" s="254"/>
    </row>
    <row r="566" spans="2:8" ht="22.5" customHeight="1">
      <c r="B566" s="279" t="s">
        <v>16</v>
      </c>
      <c r="C566" s="272" t="s">
        <v>17</v>
      </c>
      <c r="D566" s="262"/>
      <c r="E566" s="272" t="s">
        <v>18</v>
      </c>
      <c r="F566" s="262"/>
      <c r="G566" s="3" t="s">
        <v>19</v>
      </c>
      <c r="H566" s="3"/>
    </row>
    <row r="567" spans="2:8" ht="17.25" customHeight="1">
      <c r="B567" s="280"/>
      <c r="C567" s="273"/>
      <c r="D567" s="274"/>
      <c r="E567" s="273"/>
      <c r="F567" s="274"/>
      <c r="G567" s="3" t="s">
        <v>20</v>
      </c>
      <c r="H567" s="3" t="s">
        <v>21</v>
      </c>
    </row>
    <row r="568" spans="2:8" ht="17.25" customHeight="1">
      <c r="B568" s="281"/>
      <c r="C568" s="275"/>
      <c r="D568" s="276"/>
      <c r="E568" s="275"/>
      <c r="F568" s="276"/>
      <c r="G568" s="3" t="s">
        <v>22</v>
      </c>
      <c r="H568" s="3"/>
    </row>
    <row r="569" spans="2:8" ht="25.8" customHeight="1">
      <c r="B569" s="279" t="s">
        <v>23</v>
      </c>
      <c r="C569" s="283" t="s">
        <v>24</v>
      </c>
      <c r="D569" s="272" t="s">
        <v>25</v>
      </c>
      <c r="E569" s="3" t="s">
        <v>26</v>
      </c>
      <c r="F569" s="3"/>
      <c r="G569" s="3" t="s">
        <v>27</v>
      </c>
      <c r="H569" s="12">
        <f>'INVENTARIO CAJA 1'!H43</f>
        <v>20</v>
      </c>
    </row>
    <row r="570" spans="2:8" ht="27.6" customHeight="1">
      <c r="B570" s="281"/>
      <c r="C570" s="275"/>
      <c r="D570" s="281"/>
      <c r="E570" s="3" t="s">
        <v>28</v>
      </c>
      <c r="F570" s="3" t="s">
        <v>29</v>
      </c>
      <c r="G570" s="3" t="s">
        <v>30</v>
      </c>
      <c r="H570" s="12" t="str">
        <f>IF('INVENTARIO CAJA 1'!D43&lt;&gt;"",'INVENTARIO CAJA 1'!D43,"1/1")</f>
        <v>1/1</v>
      </c>
    </row>
    <row r="573" spans="2:8" ht="61.2" customHeight="1">
      <c r="B573" s="7"/>
      <c r="C573" s="282" t="s">
        <v>35</v>
      </c>
      <c r="D573" s="269"/>
      <c r="E573" s="269"/>
      <c r="F573" s="269"/>
      <c r="G573" s="269"/>
      <c r="H573" s="262"/>
    </row>
    <row r="574" spans="2:8" ht="31.8" customHeight="1">
      <c r="B574" s="8"/>
      <c r="C574" s="277" t="s">
        <v>1</v>
      </c>
      <c r="D574" s="253"/>
      <c r="E574" s="253"/>
      <c r="F574" s="253"/>
      <c r="G574" s="253"/>
      <c r="H574" s="254"/>
    </row>
    <row r="575" spans="2:8" ht="18.75" customHeight="1">
      <c r="B575" s="9" t="s">
        <v>2</v>
      </c>
      <c r="C575" s="285" t="s">
        <v>3</v>
      </c>
      <c r="D575" s="265"/>
      <c r="E575" s="265"/>
      <c r="F575" s="265"/>
      <c r="G575" s="265"/>
      <c r="H575" s="276"/>
    </row>
    <row r="576" spans="2:8" ht="32.25" customHeight="1">
      <c r="B576" s="1" t="s">
        <v>4</v>
      </c>
      <c r="C576" s="271" t="s">
        <v>5</v>
      </c>
      <c r="D576" s="253"/>
      <c r="E576" s="253"/>
      <c r="F576" s="253"/>
      <c r="G576" s="253"/>
      <c r="H576" s="254"/>
    </row>
    <row r="577" spans="2:8" ht="32.4" customHeight="1">
      <c r="B577" s="1" t="s">
        <v>6</v>
      </c>
      <c r="C577" s="278" t="s">
        <v>7</v>
      </c>
      <c r="D577" s="254"/>
      <c r="E577" s="11" t="s">
        <v>8</v>
      </c>
      <c r="F577" s="271" t="s">
        <v>9</v>
      </c>
      <c r="G577" s="253"/>
      <c r="H577" s="254"/>
    </row>
    <row r="578" spans="2:8" ht="88.95" customHeight="1">
      <c r="B578" s="1" t="s">
        <v>10</v>
      </c>
      <c r="C578" s="270" t="str">
        <f>'INVENTARIO CAJA 1'!E44</f>
        <v>Parte policial Nro. 2026050907541948413, Hoja de Ingreso y Salida Nro. 0002073, entregado al señor COQUE TONATO JUAN, con cédula 0500720537 del Vehiculo Tipo BUS marca HINO, color ROJO con placas JAA1756, por ACCIDENTE DE TRANSITO.</v>
      </c>
      <c r="D578" s="253"/>
      <c r="E578" s="253"/>
      <c r="F578" s="253"/>
      <c r="G578" s="253"/>
      <c r="H578" s="254"/>
    </row>
    <row r="579" spans="2:8" ht="28.2" customHeight="1">
      <c r="B579" s="1" t="s">
        <v>12</v>
      </c>
      <c r="C579" s="272" t="s">
        <v>106</v>
      </c>
      <c r="D579" s="253"/>
      <c r="E579" s="253"/>
      <c r="F579" s="253"/>
      <c r="G579" s="253"/>
      <c r="H579" s="254"/>
    </row>
    <row r="580" spans="2:8" ht="25.2" customHeight="1">
      <c r="B580" s="1" t="s">
        <v>14</v>
      </c>
      <c r="C580" s="284">
        <f>'INVENTARIO CAJA 1'!F44</f>
        <v>46150</v>
      </c>
      <c r="D580" s="254"/>
      <c r="E580" s="3" t="s">
        <v>15</v>
      </c>
      <c r="F580" s="284">
        <f>'INVENTARIO CAJA 1'!G44</f>
        <v>46157</v>
      </c>
      <c r="G580" s="253"/>
      <c r="H580" s="254"/>
    </row>
    <row r="581" spans="2:8" ht="22.5" customHeight="1">
      <c r="B581" s="279" t="s">
        <v>16</v>
      </c>
      <c r="C581" s="272" t="s">
        <v>17</v>
      </c>
      <c r="D581" s="262"/>
      <c r="E581" s="272" t="s">
        <v>18</v>
      </c>
      <c r="F581" s="262"/>
      <c r="G581" s="3" t="s">
        <v>19</v>
      </c>
      <c r="H581" s="3"/>
    </row>
    <row r="582" spans="2:8" ht="17.25" customHeight="1">
      <c r="B582" s="280"/>
      <c r="C582" s="273"/>
      <c r="D582" s="274"/>
      <c r="E582" s="273"/>
      <c r="F582" s="274"/>
      <c r="G582" s="3" t="s">
        <v>20</v>
      </c>
      <c r="H582" s="3" t="s">
        <v>21</v>
      </c>
    </row>
    <row r="583" spans="2:8" ht="17.25" customHeight="1">
      <c r="B583" s="281"/>
      <c r="C583" s="275"/>
      <c r="D583" s="276"/>
      <c r="E583" s="275"/>
      <c r="F583" s="276"/>
      <c r="G583" s="3" t="s">
        <v>22</v>
      </c>
      <c r="H583" s="3"/>
    </row>
    <row r="584" spans="2:8" ht="25.8" customHeight="1">
      <c r="B584" s="279" t="s">
        <v>23</v>
      </c>
      <c r="C584" s="283" t="s">
        <v>24</v>
      </c>
      <c r="D584" s="272" t="s">
        <v>25</v>
      </c>
      <c r="E584" s="3" t="s">
        <v>26</v>
      </c>
      <c r="F584" s="3"/>
      <c r="G584" s="3" t="s">
        <v>27</v>
      </c>
      <c r="H584" s="12">
        <f>'INVENTARIO CAJA 1'!H44</f>
        <v>15</v>
      </c>
    </row>
    <row r="585" spans="2:8" ht="27.6" customHeight="1">
      <c r="B585" s="281"/>
      <c r="C585" s="275"/>
      <c r="D585" s="281"/>
      <c r="E585" s="3" t="s">
        <v>28</v>
      </c>
      <c r="F585" s="3" t="s">
        <v>29</v>
      </c>
      <c r="G585" s="3" t="s">
        <v>30</v>
      </c>
      <c r="H585" s="12" t="str">
        <f>IF('INVENTARIO CAJA 1'!D44&lt;&gt;"",'INVENTARIO CAJA 1'!D44,"1/1")</f>
        <v>1/1</v>
      </c>
    </row>
    <row r="588" spans="2:8" ht="61.2" customHeight="1">
      <c r="B588" s="7"/>
      <c r="C588" s="282" t="s">
        <v>35</v>
      </c>
      <c r="D588" s="269"/>
      <c r="E588" s="269"/>
      <c r="F588" s="269"/>
      <c r="G588" s="269"/>
      <c r="H588" s="262"/>
    </row>
    <row r="589" spans="2:8" ht="31.8" customHeight="1">
      <c r="B589" s="8"/>
      <c r="C589" s="277" t="s">
        <v>1</v>
      </c>
      <c r="D589" s="253"/>
      <c r="E589" s="253"/>
      <c r="F589" s="253"/>
      <c r="G589" s="253"/>
      <c r="H589" s="254"/>
    </row>
    <row r="590" spans="2:8" ht="18.75" customHeight="1">
      <c r="B590" s="9" t="s">
        <v>2</v>
      </c>
      <c r="C590" s="285" t="s">
        <v>3</v>
      </c>
      <c r="D590" s="265"/>
      <c r="E590" s="265"/>
      <c r="F590" s="265"/>
      <c r="G590" s="265"/>
      <c r="H590" s="276"/>
    </row>
    <row r="591" spans="2:8" ht="32.25" customHeight="1">
      <c r="B591" s="1" t="s">
        <v>4</v>
      </c>
      <c r="C591" s="271" t="s">
        <v>5</v>
      </c>
      <c r="D591" s="253"/>
      <c r="E591" s="253"/>
      <c r="F591" s="253"/>
      <c r="G591" s="253"/>
      <c r="H591" s="254"/>
    </row>
    <row r="592" spans="2:8" ht="32.4" customHeight="1">
      <c r="B592" s="1" t="s">
        <v>6</v>
      </c>
      <c r="C592" s="278" t="s">
        <v>7</v>
      </c>
      <c r="D592" s="254"/>
      <c r="E592" s="11" t="s">
        <v>8</v>
      </c>
      <c r="F592" s="271" t="s">
        <v>9</v>
      </c>
      <c r="G592" s="253"/>
      <c r="H592" s="254"/>
    </row>
    <row r="593" spans="2:8" ht="88.95" customHeight="1">
      <c r="B593" s="1" t="s">
        <v>10</v>
      </c>
      <c r="C593" s="270" t="str">
        <f>'INVENTARIO CAJA 1'!E45</f>
        <v>Parte policial Nro. 20260512095053535006, Hoja de Ingreso y Salida Nro. 0002074, entregado al señor MEDRANO JARRIN FERNANDO, con cédula 1719633438 del Vehiculo Tipo TRACTO CAMIÓN marca FREIGHTLINER, color BLANCO con placas PUK0033, por ACCIDENTE DE TRANSITO.</v>
      </c>
      <c r="D593" s="253"/>
      <c r="E593" s="253"/>
      <c r="F593" s="253"/>
      <c r="G593" s="253"/>
      <c r="H593" s="254"/>
    </row>
    <row r="594" spans="2:8" ht="28.2" customHeight="1">
      <c r="B594" s="1" t="s">
        <v>12</v>
      </c>
      <c r="C594" s="272" t="s">
        <v>107</v>
      </c>
      <c r="D594" s="253"/>
      <c r="E594" s="253"/>
      <c r="F594" s="253"/>
      <c r="G594" s="253"/>
      <c r="H594" s="254"/>
    </row>
    <row r="595" spans="2:8" ht="25.2" customHeight="1">
      <c r="B595" s="1" t="s">
        <v>14</v>
      </c>
      <c r="C595" s="284">
        <f>'INVENTARIO CAJA 1'!F45</f>
        <v>46154</v>
      </c>
      <c r="D595" s="254"/>
      <c r="E595" s="3" t="s">
        <v>15</v>
      </c>
      <c r="F595" s="284">
        <f>'INVENTARIO CAJA 1'!G45</f>
        <v>46182</v>
      </c>
      <c r="G595" s="253"/>
      <c r="H595" s="254"/>
    </row>
    <row r="596" spans="2:8" ht="22.5" customHeight="1">
      <c r="B596" s="279" t="s">
        <v>16</v>
      </c>
      <c r="C596" s="272" t="s">
        <v>17</v>
      </c>
      <c r="D596" s="262"/>
      <c r="E596" s="272" t="s">
        <v>18</v>
      </c>
      <c r="F596" s="262"/>
      <c r="G596" s="3" t="s">
        <v>19</v>
      </c>
      <c r="H596" s="3"/>
    </row>
    <row r="597" spans="2:8" ht="17.25" customHeight="1">
      <c r="B597" s="280"/>
      <c r="C597" s="273"/>
      <c r="D597" s="274"/>
      <c r="E597" s="273"/>
      <c r="F597" s="274"/>
      <c r="G597" s="3" t="s">
        <v>20</v>
      </c>
      <c r="H597" s="3" t="s">
        <v>21</v>
      </c>
    </row>
    <row r="598" spans="2:8" ht="17.25" customHeight="1">
      <c r="B598" s="281"/>
      <c r="C598" s="275"/>
      <c r="D598" s="276"/>
      <c r="E598" s="275"/>
      <c r="F598" s="276"/>
      <c r="G598" s="3" t="s">
        <v>22</v>
      </c>
      <c r="H598" s="3"/>
    </row>
    <row r="599" spans="2:8" ht="25.8" customHeight="1">
      <c r="B599" s="279" t="s">
        <v>23</v>
      </c>
      <c r="C599" s="283" t="s">
        <v>24</v>
      </c>
      <c r="D599" s="272" t="s">
        <v>25</v>
      </c>
      <c r="E599" s="3" t="s">
        <v>26</v>
      </c>
      <c r="F599" s="3"/>
      <c r="G599" s="3" t="s">
        <v>27</v>
      </c>
      <c r="H599" s="12">
        <f>'INVENTARIO CAJA 1'!H45</f>
        <v>30</v>
      </c>
    </row>
    <row r="600" spans="2:8" ht="27.6" customHeight="1">
      <c r="B600" s="281"/>
      <c r="C600" s="275"/>
      <c r="D600" s="281"/>
      <c r="E600" s="3" t="s">
        <v>28</v>
      </c>
      <c r="F600" s="3" t="s">
        <v>29</v>
      </c>
      <c r="G600" s="3" t="s">
        <v>30</v>
      </c>
      <c r="H600" s="12" t="str">
        <f>IF('INVENTARIO CAJA 1'!D45&lt;&gt;"",'INVENTARIO CAJA 1'!D45,"1/1")</f>
        <v>1/1</v>
      </c>
    </row>
    <row r="603" spans="2:8" ht="61.2" customHeight="1">
      <c r="B603" s="7"/>
      <c r="C603" s="282" t="s">
        <v>35</v>
      </c>
      <c r="D603" s="269"/>
      <c r="E603" s="269"/>
      <c r="F603" s="269"/>
      <c r="G603" s="269"/>
      <c r="H603" s="262"/>
    </row>
    <row r="604" spans="2:8" ht="31.8" customHeight="1">
      <c r="B604" s="8"/>
      <c r="C604" s="277" t="s">
        <v>1</v>
      </c>
      <c r="D604" s="253"/>
      <c r="E604" s="253"/>
      <c r="F604" s="253"/>
      <c r="G604" s="253"/>
      <c r="H604" s="254"/>
    </row>
    <row r="605" spans="2:8" ht="18.75" customHeight="1">
      <c r="B605" s="9" t="s">
        <v>2</v>
      </c>
      <c r="C605" s="285" t="s">
        <v>3</v>
      </c>
      <c r="D605" s="265"/>
      <c r="E605" s="265"/>
      <c r="F605" s="265"/>
      <c r="G605" s="265"/>
      <c r="H605" s="276"/>
    </row>
    <row r="606" spans="2:8" ht="32.25" customHeight="1">
      <c r="B606" s="1" t="s">
        <v>4</v>
      </c>
      <c r="C606" s="271" t="s">
        <v>5</v>
      </c>
      <c r="D606" s="253"/>
      <c r="E606" s="253"/>
      <c r="F606" s="253"/>
      <c r="G606" s="253"/>
      <c r="H606" s="254"/>
    </row>
    <row r="607" spans="2:8" ht="32.4" customHeight="1">
      <c r="B607" s="1" t="s">
        <v>6</v>
      </c>
      <c r="C607" s="278" t="s">
        <v>7</v>
      </c>
      <c r="D607" s="254"/>
      <c r="E607" s="11" t="s">
        <v>8</v>
      </c>
      <c r="F607" s="271" t="s">
        <v>9</v>
      </c>
      <c r="G607" s="253"/>
      <c r="H607" s="254"/>
    </row>
    <row r="608" spans="2:8" ht="88.95" customHeight="1">
      <c r="B608" s="1" t="s">
        <v>10</v>
      </c>
      <c r="C608" s="270" t="str">
        <f>'INVENTARIO CAJA 1'!E46</f>
        <v>Parte policial Nro. 20260512095053535006, Hoja de Ingreso y Salida Nro. 0002075, entregado al señor MEDRANO JARRIN FERNANDO, con cédula 1307161321 del Vehiculo Tipo CAMIÓN marca HINO, color BLANCO con placas MBE7165, por ACCIDENTE DE TRANSITO.</v>
      </c>
      <c r="D608" s="253"/>
      <c r="E608" s="253"/>
      <c r="F608" s="253"/>
      <c r="G608" s="253"/>
      <c r="H608" s="254"/>
    </row>
    <row r="609" spans="2:8" ht="28.2" customHeight="1">
      <c r="B609" s="1" t="s">
        <v>12</v>
      </c>
      <c r="C609" s="272" t="s">
        <v>108</v>
      </c>
      <c r="D609" s="253"/>
      <c r="E609" s="253"/>
      <c r="F609" s="253"/>
      <c r="G609" s="253"/>
      <c r="H609" s="254"/>
    </row>
    <row r="610" spans="2:8" ht="25.2" customHeight="1">
      <c r="B610" s="1" t="s">
        <v>14</v>
      </c>
      <c r="C610" s="284">
        <f>'INVENTARIO CAJA 1'!F46</f>
        <v>46154</v>
      </c>
      <c r="D610" s="254"/>
      <c r="E610" s="3" t="s">
        <v>15</v>
      </c>
      <c r="F610" s="284">
        <f>'INVENTARIO CAJA 1'!G46</f>
        <v>46168</v>
      </c>
      <c r="G610" s="253"/>
      <c r="H610" s="254"/>
    </row>
    <row r="611" spans="2:8" ht="22.5" customHeight="1">
      <c r="B611" s="279" t="s">
        <v>16</v>
      </c>
      <c r="C611" s="272" t="s">
        <v>17</v>
      </c>
      <c r="D611" s="262"/>
      <c r="E611" s="272" t="s">
        <v>18</v>
      </c>
      <c r="F611" s="262"/>
      <c r="G611" s="3" t="s">
        <v>19</v>
      </c>
      <c r="H611" s="3"/>
    </row>
    <row r="612" spans="2:8" ht="17.25" customHeight="1">
      <c r="B612" s="280"/>
      <c r="C612" s="273"/>
      <c r="D612" s="274"/>
      <c r="E612" s="273"/>
      <c r="F612" s="274"/>
      <c r="G612" s="3" t="s">
        <v>20</v>
      </c>
      <c r="H612" s="3" t="s">
        <v>21</v>
      </c>
    </row>
    <row r="613" spans="2:8" ht="17.25" customHeight="1">
      <c r="B613" s="281"/>
      <c r="C613" s="275"/>
      <c r="D613" s="276"/>
      <c r="E613" s="275"/>
      <c r="F613" s="276"/>
      <c r="G613" s="3" t="s">
        <v>22</v>
      </c>
      <c r="H613" s="3"/>
    </row>
    <row r="614" spans="2:8" ht="25.8" customHeight="1">
      <c r="B614" s="279" t="s">
        <v>23</v>
      </c>
      <c r="C614" s="283" t="s">
        <v>24</v>
      </c>
      <c r="D614" s="272" t="s">
        <v>25</v>
      </c>
      <c r="E614" s="3" t="s">
        <v>26</v>
      </c>
      <c r="F614" s="3"/>
      <c r="G614" s="3" t="s">
        <v>27</v>
      </c>
      <c r="H614" s="12">
        <f>'INVENTARIO CAJA 1'!H46</f>
        <v>31</v>
      </c>
    </row>
    <row r="615" spans="2:8" ht="27.6" customHeight="1">
      <c r="B615" s="281"/>
      <c r="C615" s="275"/>
      <c r="D615" s="281"/>
      <c r="E615" s="3" t="s">
        <v>28</v>
      </c>
      <c r="F615" s="3" t="s">
        <v>29</v>
      </c>
      <c r="G615" s="3" t="s">
        <v>30</v>
      </c>
      <c r="H615" s="12" t="str">
        <f>IF('INVENTARIO CAJA 1'!D46&lt;&gt;"",'INVENTARIO CAJA 1'!D46,"1/1")</f>
        <v>1/1</v>
      </c>
    </row>
    <row r="618" spans="2:8" ht="61.2" customHeight="1">
      <c r="B618" s="7"/>
      <c r="C618" s="282" t="s">
        <v>35</v>
      </c>
      <c r="D618" s="269"/>
      <c r="E618" s="269"/>
      <c r="F618" s="269"/>
      <c r="G618" s="269"/>
      <c r="H618" s="262"/>
    </row>
    <row r="619" spans="2:8" ht="31.8" customHeight="1">
      <c r="B619" s="8"/>
      <c r="C619" s="277" t="s">
        <v>1</v>
      </c>
      <c r="D619" s="253"/>
      <c r="E619" s="253"/>
      <c r="F619" s="253"/>
      <c r="G619" s="253"/>
      <c r="H619" s="254"/>
    </row>
    <row r="620" spans="2:8" ht="18.75" customHeight="1">
      <c r="B620" s="9" t="s">
        <v>2</v>
      </c>
      <c r="C620" s="285" t="s">
        <v>3</v>
      </c>
      <c r="D620" s="265"/>
      <c r="E620" s="265"/>
      <c r="F620" s="265"/>
      <c r="G620" s="265"/>
      <c r="H620" s="276"/>
    </row>
    <row r="621" spans="2:8" ht="32.25" customHeight="1">
      <c r="B621" s="1" t="s">
        <v>4</v>
      </c>
      <c r="C621" s="271" t="s">
        <v>5</v>
      </c>
      <c r="D621" s="253"/>
      <c r="E621" s="253"/>
      <c r="F621" s="253"/>
      <c r="G621" s="253"/>
      <c r="H621" s="254"/>
    </row>
    <row r="622" spans="2:8" ht="32.4" customHeight="1">
      <c r="B622" s="1" t="s">
        <v>6</v>
      </c>
      <c r="C622" s="278" t="s">
        <v>7</v>
      </c>
      <c r="D622" s="254"/>
      <c r="E622" s="11" t="s">
        <v>8</v>
      </c>
      <c r="F622" s="271" t="s">
        <v>9</v>
      </c>
      <c r="G622" s="253"/>
      <c r="H622" s="254"/>
    </row>
    <row r="623" spans="2:8" ht="88.95" customHeight="1">
      <c r="B623" s="1" t="s">
        <v>10</v>
      </c>
      <c r="C623" s="270" t="str">
        <f>'INVENTARIO CAJA 1'!E47</f>
        <v>Parte policial Nro. 2026052210240013908, Hoja de Ingreso y Salida Nro. 0002076, entregado al señor ALARCON GUERRERO HUGO LANDIVER, con cédula 1250443957 del Vehiculo Tipo FURGON marca SINOTRUK, color BLANCO con placas PAD2382, por ART. 386 INCISO 2.1.</v>
      </c>
      <c r="D623" s="253"/>
      <c r="E623" s="253"/>
      <c r="F623" s="253"/>
      <c r="G623" s="253"/>
      <c r="H623" s="254"/>
    </row>
    <row r="624" spans="2:8" ht="28.2" customHeight="1">
      <c r="B624" s="1" t="s">
        <v>12</v>
      </c>
      <c r="C624" s="272" t="s">
        <v>109</v>
      </c>
      <c r="D624" s="253"/>
      <c r="E624" s="253"/>
      <c r="F624" s="253"/>
      <c r="G624" s="253"/>
      <c r="H624" s="254"/>
    </row>
    <row r="625" spans="2:8" ht="25.2" customHeight="1">
      <c r="B625" s="1" t="s">
        <v>14</v>
      </c>
      <c r="C625" s="284">
        <f>'INVENTARIO CAJA 1'!F47</f>
        <v>46164</v>
      </c>
      <c r="D625" s="254"/>
      <c r="E625" s="3" t="s">
        <v>15</v>
      </c>
      <c r="F625" s="284">
        <f>'INVENTARIO CAJA 1'!G47</f>
        <v>46184</v>
      </c>
      <c r="G625" s="253"/>
      <c r="H625" s="254"/>
    </row>
    <row r="626" spans="2:8" ht="22.5" customHeight="1">
      <c r="B626" s="279" t="s">
        <v>16</v>
      </c>
      <c r="C626" s="272" t="s">
        <v>17</v>
      </c>
      <c r="D626" s="262"/>
      <c r="E626" s="272" t="s">
        <v>18</v>
      </c>
      <c r="F626" s="262"/>
      <c r="G626" s="3" t="s">
        <v>19</v>
      </c>
      <c r="H626" s="3"/>
    </row>
    <row r="627" spans="2:8" ht="17.25" customHeight="1">
      <c r="B627" s="280"/>
      <c r="C627" s="273"/>
      <c r="D627" s="274"/>
      <c r="E627" s="273"/>
      <c r="F627" s="274"/>
      <c r="G627" s="3" t="s">
        <v>20</v>
      </c>
      <c r="H627" s="3" t="s">
        <v>21</v>
      </c>
    </row>
    <row r="628" spans="2:8" ht="17.25" customHeight="1">
      <c r="B628" s="281"/>
      <c r="C628" s="275"/>
      <c r="D628" s="276"/>
      <c r="E628" s="275"/>
      <c r="F628" s="276"/>
      <c r="G628" s="3" t="s">
        <v>22</v>
      </c>
      <c r="H628" s="3"/>
    </row>
    <row r="629" spans="2:8" ht="25.8" customHeight="1">
      <c r="B629" s="279" t="s">
        <v>23</v>
      </c>
      <c r="C629" s="283" t="s">
        <v>24</v>
      </c>
      <c r="D629" s="272" t="s">
        <v>25</v>
      </c>
      <c r="E629" s="3" t="s">
        <v>26</v>
      </c>
      <c r="F629" s="3"/>
      <c r="G629" s="3" t="s">
        <v>27</v>
      </c>
      <c r="H629" s="12">
        <f>'INVENTARIO CAJA 1'!H47</f>
        <v>24</v>
      </c>
    </row>
    <row r="630" spans="2:8" ht="27.6" customHeight="1">
      <c r="B630" s="281"/>
      <c r="C630" s="275"/>
      <c r="D630" s="281"/>
      <c r="E630" s="3" t="s">
        <v>28</v>
      </c>
      <c r="F630" s="3" t="s">
        <v>29</v>
      </c>
      <c r="G630" s="3" t="s">
        <v>30</v>
      </c>
      <c r="H630" s="12" t="str">
        <f>IF('INVENTARIO CAJA 1'!D47&lt;&gt;"",'INVENTARIO CAJA 1'!D47,"1/1")</f>
        <v>1/1</v>
      </c>
    </row>
    <row r="633" spans="2:8" ht="61.2" customHeight="1">
      <c r="B633" s="7"/>
      <c r="C633" s="282" t="s">
        <v>35</v>
      </c>
      <c r="D633" s="269"/>
      <c r="E633" s="269"/>
      <c r="F633" s="269"/>
      <c r="G633" s="269"/>
      <c r="H633" s="262"/>
    </row>
    <row r="634" spans="2:8" ht="31.8" customHeight="1">
      <c r="B634" s="8"/>
      <c r="C634" s="277" t="s">
        <v>1</v>
      </c>
      <c r="D634" s="253"/>
      <c r="E634" s="253"/>
      <c r="F634" s="253"/>
      <c r="G634" s="253"/>
      <c r="H634" s="254"/>
    </row>
    <row r="635" spans="2:8" ht="18.75" customHeight="1">
      <c r="B635" s="9" t="s">
        <v>2</v>
      </c>
      <c r="C635" s="285" t="s">
        <v>3</v>
      </c>
      <c r="D635" s="265"/>
      <c r="E635" s="265"/>
      <c r="F635" s="265"/>
      <c r="G635" s="265"/>
      <c r="H635" s="276"/>
    </row>
    <row r="636" spans="2:8" ht="32.25" customHeight="1">
      <c r="B636" s="1" t="s">
        <v>4</v>
      </c>
      <c r="C636" s="271" t="s">
        <v>5</v>
      </c>
      <c r="D636" s="253"/>
      <c r="E636" s="253"/>
      <c r="F636" s="253"/>
      <c r="G636" s="253"/>
      <c r="H636" s="254"/>
    </row>
    <row r="637" spans="2:8" ht="32.4" customHeight="1">
      <c r="B637" s="1" t="s">
        <v>6</v>
      </c>
      <c r="C637" s="278" t="s">
        <v>7</v>
      </c>
      <c r="D637" s="254"/>
      <c r="E637" s="11" t="s">
        <v>8</v>
      </c>
      <c r="F637" s="271" t="s">
        <v>9</v>
      </c>
      <c r="G637" s="253"/>
      <c r="H637" s="254"/>
    </row>
    <row r="638" spans="2:8" ht="88.95" customHeight="1">
      <c r="B638" s="1" t="s">
        <v>10</v>
      </c>
      <c r="C638" s="270" t="str">
        <f>'INVENTARIO CAJA 1'!E48</f>
        <v>Parte policial Nro. 2026060109260250000, Hoja de Ingreso y Salida Nro. 0002078, entregado al señor SUAREZ CONTRERA YANET MARYURU, con cédula 0801624610 del Vehiculo Tipo BUS marca HINO, color ROJO con placas JAA1752, por ACCIDENTE DE TRANSITO.</v>
      </c>
      <c r="D638" s="253"/>
      <c r="E638" s="253"/>
      <c r="F638" s="253"/>
      <c r="G638" s="253"/>
      <c r="H638" s="254"/>
    </row>
    <row r="639" spans="2:8" ht="28.2" customHeight="1">
      <c r="B639" s="1" t="s">
        <v>12</v>
      </c>
      <c r="C639" s="272" t="s">
        <v>110</v>
      </c>
      <c r="D639" s="253"/>
      <c r="E639" s="253"/>
      <c r="F639" s="253"/>
      <c r="G639" s="253"/>
      <c r="H639" s="254"/>
    </row>
    <row r="640" spans="2:8" ht="25.2" customHeight="1">
      <c r="B640" s="1" t="s">
        <v>14</v>
      </c>
      <c r="C640" s="284">
        <f>'INVENTARIO CAJA 1'!F48</f>
        <v>46174</v>
      </c>
      <c r="D640" s="254"/>
      <c r="E640" s="3" t="s">
        <v>15</v>
      </c>
      <c r="F640" s="284">
        <f>'INVENTARIO CAJA 1'!G48</f>
        <v>46178</v>
      </c>
      <c r="G640" s="253"/>
      <c r="H640" s="254"/>
    </row>
    <row r="641" spans="2:8" ht="22.5" customHeight="1">
      <c r="B641" s="279" t="s">
        <v>16</v>
      </c>
      <c r="C641" s="272" t="s">
        <v>17</v>
      </c>
      <c r="D641" s="262"/>
      <c r="E641" s="272" t="s">
        <v>18</v>
      </c>
      <c r="F641" s="262"/>
      <c r="G641" s="3" t="s">
        <v>19</v>
      </c>
      <c r="H641" s="3"/>
    </row>
    <row r="642" spans="2:8" ht="17.25" customHeight="1">
      <c r="B642" s="280"/>
      <c r="C642" s="273"/>
      <c r="D642" s="274"/>
      <c r="E642" s="273"/>
      <c r="F642" s="274"/>
      <c r="G642" s="3" t="s">
        <v>20</v>
      </c>
      <c r="H642" s="3" t="s">
        <v>21</v>
      </c>
    </row>
    <row r="643" spans="2:8" ht="17.25" customHeight="1">
      <c r="B643" s="281"/>
      <c r="C643" s="275"/>
      <c r="D643" s="276"/>
      <c r="E643" s="275"/>
      <c r="F643" s="276"/>
      <c r="G643" s="3" t="s">
        <v>22</v>
      </c>
      <c r="H643" s="3"/>
    </row>
    <row r="644" spans="2:8" ht="25.8" customHeight="1">
      <c r="B644" s="279" t="s">
        <v>23</v>
      </c>
      <c r="C644" s="283" t="s">
        <v>24</v>
      </c>
      <c r="D644" s="272" t="s">
        <v>25</v>
      </c>
      <c r="E644" s="3" t="s">
        <v>26</v>
      </c>
      <c r="F644" s="3"/>
      <c r="G644" s="3" t="s">
        <v>27</v>
      </c>
      <c r="H644" s="12">
        <f>'INVENTARIO CAJA 1'!H48</f>
        <v>23</v>
      </c>
    </row>
    <row r="645" spans="2:8" ht="27.6" customHeight="1">
      <c r="B645" s="281"/>
      <c r="C645" s="275"/>
      <c r="D645" s="281"/>
      <c r="E645" s="3" t="s">
        <v>28</v>
      </c>
      <c r="F645" s="3" t="s">
        <v>29</v>
      </c>
      <c r="G645" s="3" t="s">
        <v>30</v>
      </c>
      <c r="H645" s="12" t="str">
        <f>IF('INVENTARIO CAJA 1'!D48&lt;&gt;"",'INVENTARIO CAJA 1'!D48,"1/1")</f>
        <v>1/1</v>
      </c>
    </row>
    <row r="648" spans="2:8" ht="61.2" customHeight="1">
      <c r="B648" s="7"/>
      <c r="C648" s="282" t="s">
        <v>35</v>
      </c>
      <c r="D648" s="269"/>
      <c r="E648" s="269"/>
      <c r="F648" s="269"/>
      <c r="G648" s="269"/>
      <c r="H648" s="262"/>
    </row>
    <row r="649" spans="2:8" ht="31.8" customHeight="1">
      <c r="B649" s="8"/>
      <c r="C649" s="277" t="s">
        <v>1</v>
      </c>
      <c r="D649" s="253"/>
      <c r="E649" s="253"/>
      <c r="F649" s="253"/>
      <c r="G649" s="253"/>
      <c r="H649" s="254"/>
    </row>
    <row r="650" spans="2:8" ht="18.75" customHeight="1">
      <c r="B650" s="9" t="s">
        <v>2</v>
      </c>
      <c r="C650" s="285" t="s">
        <v>3</v>
      </c>
      <c r="D650" s="265"/>
      <c r="E650" s="265"/>
      <c r="F650" s="265"/>
      <c r="G650" s="265"/>
      <c r="H650" s="276"/>
    </row>
    <row r="651" spans="2:8" ht="32.25" customHeight="1">
      <c r="B651" s="1" t="s">
        <v>4</v>
      </c>
      <c r="C651" s="271" t="s">
        <v>5</v>
      </c>
      <c r="D651" s="253"/>
      <c r="E651" s="253"/>
      <c r="F651" s="253"/>
      <c r="G651" s="253"/>
      <c r="H651" s="254"/>
    </row>
    <row r="652" spans="2:8" ht="32.4" customHeight="1">
      <c r="B652" s="1" t="s">
        <v>6</v>
      </c>
      <c r="C652" s="278" t="s">
        <v>7</v>
      </c>
      <c r="D652" s="254"/>
      <c r="E652" s="11" t="s">
        <v>8</v>
      </c>
      <c r="F652" s="271" t="s">
        <v>9</v>
      </c>
      <c r="G652" s="253"/>
      <c r="H652" s="254"/>
    </row>
    <row r="653" spans="2:8" ht="88.95" customHeight="1">
      <c r="B653" s="1" t="s">
        <v>10</v>
      </c>
      <c r="C653" s="270" t="str">
        <f>'INVENTARIO CAJA 1'!E49</f>
        <v>Parte policial Nro. 2026061800331883308, Hoja de Ingreso y Salida Nro. 0002079, entregado al señor HECTOR ISRAEL BABAYO HARO, con cédula 1803891226 del Vehiculo Tipo BUS marca YUTONG, color AMARILLO con placas TAA3401, por ART. 386 INCISO 2.1.</v>
      </c>
      <c r="D653" s="253"/>
      <c r="E653" s="253"/>
      <c r="F653" s="253"/>
      <c r="G653" s="253"/>
      <c r="H653" s="254"/>
    </row>
    <row r="654" spans="2:8" ht="28.2" customHeight="1">
      <c r="B654" s="1" t="s">
        <v>12</v>
      </c>
      <c r="C654" s="272" t="s">
        <v>111</v>
      </c>
      <c r="D654" s="253"/>
      <c r="E654" s="253"/>
      <c r="F654" s="253"/>
      <c r="G654" s="253"/>
      <c r="H654" s="254"/>
    </row>
    <row r="655" spans="2:8" ht="25.2" customHeight="1">
      <c r="B655" s="1" t="s">
        <v>14</v>
      </c>
      <c r="C655" s="284">
        <f>'INVENTARIO CAJA 1'!F49</f>
        <v>46190</v>
      </c>
      <c r="D655" s="254"/>
      <c r="E655" s="3" t="s">
        <v>15</v>
      </c>
      <c r="F655" s="284">
        <f>'INVENTARIO CAJA 1'!G49</f>
        <v>46204</v>
      </c>
      <c r="G655" s="253"/>
      <c r="H655" s="254"/>
    </row>
    <row r="656" spans="2:8" ht="22.5" customHeight="1">
      <c r="B656" s="279" t="s">
        <v>16</v>
      </c>
      <c r="C656" s="272" t="s">
        <v>17</v>
      </c>
      <c r="D656" s="262"/>
      <c r="E656" s="272" t="s">
        <v>18</v>
      </c>
      <c r="F656" s="262"/>
      <c r="G656" s="3" t="s">
        <v>19</v>
      </c>
      <c r="H656" s="3"/>
    </row>
    <row r="657" spans="2:8" ht="17.25" customHeight="1">
      <c r="B657" s="280"/>
      <c r="C657" s="273"/>
      <c r="D657" s="274"/>
      <c r="E657" s="273"/>
      <c r="F657" s="274"/>
      <c r="G657" s="3" t="s">
        <v>20</v>
      </c>
      <c r="H657" s="3" t="s">
        <v>21</v>
      </c>
    </row>
    <row r="658" spans="2:8" ht="17.25" customHeight="1">
      <c r="B658" s="281"/>
      <c r="C658" s="275"/>
      <c r="D658" s="276"/>
      <c r="E658" s="275"/>
      <c r="F658" s="276"/>
      <c r="G658" s="3" t="s">
        <v>22</v>
      </c>
      <c r="H658" s="3"/>
    </row>
    <row r="659" spans="2:8" ht="25.8" customHeight="1">
      <c r="B659" s="279" t="s">
        <v>23</v>
      </c>
      <c r="C659" s="283" t="s">
        <v>24</v>
      </c>
      <c r="D659" s="272" t="s">
        <v>25</v>
      </c>
      <c r="E659" s="3" t="s">
        <v>26</v>
      </c>
      <c r="F659" s="3"/>
      <c r="G659" s="3" t="s">
        <v>27</v>
      </c>
      <c r="H659" s="12">
        <f>'INVENTARIO CAJA 1'!H49</f>
        <v>16</v>
      </c>
    </row>
    <row r="660" spans="2:8" ht="27.6" customHeight="1">
      <c r="B660" s="281"/>
      <c r="C660" s="275"/>
      <c r="D660" s="281"/>
      <c r="E660" s="3" t="s">
        <v>28</v>
      </c>
      <c r="F660" s="3" t="s">
        <v>29</v>
      </c>
      <c r="G660" s="3" t="s">
        <v>30</v>
      </c>
      <c r="H660" s="12" t="str">
        <f>IF('INVENTARIO CAJA 1'!D49&lt;&gt;"",'INVENTARIO CAJA 1'!D49,"1/1")</f>
        <v>1/1</v>
      </c>
    </row>
    <row r="663" spans="2:8" ht="61.2" customHeight="1">
      <c r="B663" s="7"/>
      <c r="C663" s="282" t="s">
        <v>35</v>
      </c>
      <c r="D663" s="269"/>
      <c r="E663" s="269"/>
      <c r="F663" s="269"/>
      <c r="G663" s="269"/>
      <c r="H663" s="262"/>
    </row>
    <row r="664" spans="2:8" ht="31.8" customHeight="1">
      <c r="B664" s="8"/>
      <c r="C664" s="277" t="s">
        <v>1</v>
      </c>
      <c r="D664" s="253"/>
      <c r="E664" s="253"/>
      <c r="F664" s="253"/>
      <c r="G664" s="253"/>
      <c r="H664" s="254"/>
    </row>
    <row r="665" spans="2:8" ht="18.75" customHeight="1">
      <c r="B665" s="9" t="s">
        <v>2</v>
      </c>
      <c r="C665" s="285" t="s">
        <v>3</v>
      </c>
      <c r="D665" s="265"/>
      <c r="E665" s="265"/>
      <c r="F665" s="265"/>
      <c r="G665" s="265"/>
      <c r="H665" s="276"/>
    </row>
    <row r="666" spans="2:8" ht="32.25" customHeight="1">
      <c r="B666" s="1" t="s">
        <v>4</v>
      </c>
      <c r="C666" s="271" t="s">
        <v>5</v>
      </c>
      <c r="D666" s="253"/>
      <c r="E666" s="253"/>
      <c r="F666" s="253"/>
      <c r="G666" s="253"/>
      <c r="H666" s="254"/>
    </row>
    <row r="667" spans="2:8" ht="32.4" customHeight="1">
      <c r="B667" s="1" t="s">
        <v>6</v>
      </c>
      <c r="C667" s="278" t="s">
        <v>7</v>
      </c>
      <c r="D667" s="254"/>
      <c r="E667" s="11" t="s">
        <v>8</v>
      </c>
      <c r="F667" s="271" t="s">
        <v>9</v>
      </c>
      <c r="G667" s="253"/>
      <c r="H667" s="254"/>
    </row>
    <row r="668" spans="2:8" ht="88.95" customHeight="1">
      <c r="B668" s="1" t="s">
        <v>10</v>
      </c>
      <c r="C668" s="270" t="str">
        <f>'INVENTARIO CAJA 1'!E50</f>
        <v>Parte policial Nro. 2026061800550850208, Hoja de Ingreso y Salida Nro. 0002080, entregado al señor MOYA GOMEZ JOSE DANIEL, con cédula 1721611174 del Vehiculo Tipo TRAILER marca FOTON, color PLOMO con placas GBO5004, por ACCIDENTE DE TRANSITO.</v>
      </c>
      <c r="D668" s="253"/>
      <c r="E668" s="253"/>
      <c r="F668" s="253"/>
      <c r="G668" s="253"/>
      <c r="H668" s="254"/>
    </row>
    <row r="669" spans="2:8" ht="28.2" customHeight="1">
      <c r="B669" s="1" t="s">
        <v>12</v>
      </c>
      <c r="C669" s="272" t="s">
        <v>112</v>
      </c>
      <c r="D669" s="253"/>
      <c r="E669" s="253"/>
      <c r="F669" s="253"/>
      <c r="G669" s="253"/>
      <c r="H669" s="254"/>
    </row>
    <row r="670" spans="2:8" ht="25.2" customHeight="1">
      <c r="B670" s="1" t="s">
        <v>14</v>
      </c>
      <c r="C670" s="284">
        <f>'INVENTARIO CAJA 1'!F50</f>
        <v>46190</v>
      </c>
      <c r="D670" s="254"/>
      <c r="E670" s="3" t="s">
        <v>15</v>
      </c>
      <c r="F670" s="284">
        <f>'INVENTARIO CAJA 1'!G50</f>
        <v>46192</v>
      </c>
      <c r="G670" s="253"/>
      <c r="H670" s="254"/>
    </row>
    <row r="671" spans="2:8" ht="22.5" customHeight="1">
      <c r="B671" s="279" t="s">
        <v>16</v>
      </c>
      <c r="C671" s="272" t="s">
        <v>17</v>
      </c>
      <c r="D671" s="262"/>
      <c r="E671" s="272" t="s">
        <v>18</v>
      </c>
      <c r="F671" s="262"/>
      <c r="G671" s="3" t="s">
        <v>19</v>
      </c>
      <c r="H671" s="3"/>
    </row>
    <row r="672" spans="2:8" ht="17.25" customHeight="1">
      <c r="B672" s="280"/>
      <c r="C672" s="273"/>
      <c r="D672" s="274"/>
      <c r="E672" s="273"/>
      <c r="F672" s="274"/>
      <c r="G672" s="3" t="s">
        <v>20</v>
      </c>
      <c r="H672" s="3" t="s">
        <v>21</v>
      </c>
    </row>
    <row r="673" spans="2:8" ht="17.25" customHeight="1">
      <c r="B673" s="281"/>
      <c r="C673" s="275"/>
      <c r="D673" s="276"/>
      <c r="E673" s="275"/>
      <c r="F673" s="276"/>
      <c r="G673" s="3" t="s">
        <v>22</v>
      </c>
      <c r="H673" s="3"/>
    </row>
    <row r="674" spans="2:8" ht="25.8" customHeight="1">
      <c r="B674" s="279" t="s">
        <v>23</v>
      </c>
      <c r="C674" s="283" t="s">
        <v>24</v>
      </c>
      <c r="D674" s="272" t="s">
        <v>25</v>
      </c>
      <c r="E674" s="3" t="s">
        <v>26</v>
      </c>
      <c r="F674" s="3"/>
      <c r="G674" s="3" t="s">
        <v>27</v>
      </c>
      <c r="H674" s="12">
        <f>'INVENTARIO CAJA 1'!H50</f>
        <v>34</v>
      </c>
    </row>
    <row r="675" spans="2:8" ht="27.6" customHeight="1">
      <c r="B675" s="281"/>
      <c r="C675" s="275"/>
      <c r="D675" s="281"/>
      <c r="E675" s="3" t="s">
        <v>28</v>
      </c>
      <c r="F675" s="3" t="s">
        <v>29</v>
      </c>
      <c r="G675" s="3" t="s">
        <v>30</v>
      </c>
      <c r="H675" s="12" t="str">
        <f>IF('INVENTARIO CAJA 1'!D50&lt;&gt;"",'INVENTARIO CAJA 1'!D50,"1/1")</f>
        <v>1/1</v>
      </c>
    </row>
    <row r="678" spans="2:8" ht="61.2" customHeight="1">
      <c r="B678" s="7"/>
      <c r="C678" s="282" t="s">
        <v>35</v>
      </c>
      <c r="D678" s="269"/>
      <c r="E678" s="269"/>
      <c r="F678" s="269"/>
      <c r="G678" s="269"/>
      <c r="H678" s="262"/>
    </row>
    <row r="679" spans="2:8" ht="31.8" customHeight="1">
      <c r="B679" s="8"/>
      <c r="C679" s="277" t="s">
        <v>1</v>
      </c>
      <c r="D679" s="253"/>
      <c r="E679" s="253"/>
      <c r="F679" s="253"/>
      <c r="G679" s="253"/>
      <c r="H679" s="254"/>
    </row>
    <row r="680" spans="2:8" ht="18.75" customHeight="1">
      <c r="B680" s="9" t="s">
        <v>2</v>
      </c>
      <c r="C680" s="285" t="s">
        <v>3</v>
      </c>
      <c r="D680" s="265"/>
      <c r="E680" s="265"/>
      <c r="F680" s="265"/>
      <c r="G680" s="265"/>
      <c r="H680" s="276"/>
    </row>
    <row r="681" spans="2:8" ht="32.25" customHeight="1">
      <c r="B681" s="1" t="s">
        <v>4</v>
      </c>
      <c r="C681" s="271" t="s">
        <v>5</v>
      </c>
      <c r="D681" s="253"/>
      <c r="E681" s="253"/>
      <c r="F681" s="253"/>
      <c r="G681" s="253"/>
      <c r="H681" s="254"/>
    </row>
    <row r="682" spans="2:8" ht="32.4" customHeight="1">
      <c r="B682" s="1" t="s">
        <v>6</v>
      </c>
      <c r="C682" s="278" t="s">
        <v>7</v>
      </c>
      <c r="D682" s="254"/>
      <c r="E682" s="11" t="s">
        <v>8</v>
      </c>
      <c r="F682" s="271" t="s">
        <v>9</v>
      </c>
      <c r="G682" s="253"/>
      <c r="H682" s="254"/>
    </row>
    <row r="683" spans="2:8" ht="88.95" customHeight="1">
      <c r="B683" s="1" t="s">
        <v>10</v>
      </c>
      <c r="C683" s="270" t="str">
        <f>'INVENTARIO CAJA 1'!E51</f>
        <v>Parte policial Nro. 202606270306365907, Hoja de Ingreso y Salida Nro. 0002084, entregado al señor JOSE MARIO ZAMBRANO MENDOZA, con cédula 1715321350 del Vehiculo Tipo CAMIÓN marca HINO, color BLANCO con placas JBE1438, por ART. 160.</v>
      </c>
      <c r="D683" s="253"/>
      <c r="E683" s="253"/>
      <c r="F683" s="253"/>
      <c r="G683" s="253"/>
      <c r="H683" s="254"/>
    </row>
    <row r="684" spans="2:8" ht="28.2" customHeight="1">
      <c r="B684" s="1" t="s">
        <v>12</v>
      </c>
      <c r="C684" s="272" t="s">
        <v>113</v>
      </c>
      <c r="D684" s="253"/>
      <c r="E684" s="253"/>
      <c r="F684" s="253"/>
      <c r="G684" s="253"/>
      <c r="H684" s="254"/>
    </row>
    <row r="685" spans="2:8" ht="25.2" customHeight="1">
      <c r="B685" s="1" t="s">
        <v>14</v>
      </c>
      <c r="C685" s="284">
        <f>'INVENTARIO CAJA 1'!F51</f>
        <v>46200</v>
      </c>
      <c r="D685" s="254"/>
      <c r="E685" s="3" t="s">
        <v>15</v>
      </c>
      <c r="F685" s="284">
        <f>'INVENTARIO CAJA 1'!G51</f>
        <v>46202</v>
      </c>
      <c r="G685" s="253"/>
      <c r="H685" s="254"/>
    </row>
    <row r="686" spans="2:8" ht="22.5" customHeight="1">
      <c r="B686" s="279" t="s">
        <v>16</v>
      </c>
      <c r="C686" s="272" t="s">
        <v>17</v>
      </c>
      <c r="D686" s="262"/>
      <c r="E686" s="272" t="s">
        <v>18</v>
      </c>
      <c r="F686" s="262"/>
      <c r="G686" s="3" t="s">
        <v>19</v>
      </c>
      <c r="H686" s="3"/>
    </row>
    <row r="687" spans="2:8" ht="17.25" customHeight="1">
      <c r="B687" s="280"/>
      <c r="C687" s="273"/>
      <c r="D687" s="274"/>
      <c r="E687" s="273"/>
      <c r="F687" s="274"/>
      <c r="G687" s="3" t="s">
        <v>20</v>
      </c>
      <c r="H687" s="3" t="s">
        <v>21</v>
      </c>
    </row>
    <row r="688" spans="2:8" ht="17.25" customHeight="1">
      <c r="B688" s="281"/>
      <c r="C688" s="275"/>
      <c r="D688" s="276"/>
      <c r="E688" s="275"/>
      <c r="F688" s="276"/>
      <c r="G688" s="3" t="s">
        <v>22</v>
      </c>
      <c r="H688" s="3"/>
    </row>
    <row r="689" spans="2:8" ht="25.8" customHeight="1">
      <c r="B689" s="279" t="s">
        <v>23</v>
      </c>
      <c r="C689" s="283" t="s">
        <v>24</v>
      </c>
      <c r="D689" s="272" t="s">
        <v>25</v>
      </c>
      <c r="E689" s="3" t="s">
        <v>26</v>
      </c>
      <c r="F689" s="3"/>
      <c r="G689" s="3" t="s">
        <v>27</v>
      </c>
      <c r="H689" s="12">
        <f>'INVENTARIO CAJA 1'!H51</f>
        <v>14</v>
      </c>
    </row>
    <row r="690" spans="2:8" ht="27.6" customHeight="1">
      <c r="B690" s="281"/>
      <c r="C690" s="275"/>
      <c r="D690" s="281"/>
      <c r="E690" s="3" t="s">
        <v>28</v>
      </c>
      <c r="F690" s="3" t="s">
        <v>29</v>
      </c>
      <c r="G690" s="3" t="s">
        <v>30</v>
      </c>
      <c r="H690" s="12" t="str">
        <f>IF('INVENTARIO CAJA 1'!D51&lt;&gt;"",'INVENTARIO CAJA 1'!D51,"1/1")</f>
        <v>1/1</v>
      </c>
    </row>
    <row r="693" spans="2:8" ht="61.2" customHeight="1">
      <c r="B693" s="7"/>
      <c r="C693" s="282" t="s">
        <v>35</v>
      </c>
      <c r="D693" s="269"/>
      <c r="E693" s="269"/>
      <c r="F693" s="269"/>
      <c r="G693" s="269"/>
      <c r="H693" s="262"/>
    </row>
    <row r="694" spans="2:8" ht="31.8" customHeight="1">
      <c r="B694" s="8"/>
      <c r="C694" s="277" t="s">
        <v>1</v>
      </c>
      <c r="D694" s="253"/>
      <c r="E694" s="253"/>
      <c r="F694" s="253"/>
      <c r="G694" s="253"/>
      <c r="H694" s="254"/>
    </row>
    <row r="695" spans="2:8" ht="18.75" customHeight="1">
      <c r="B695" s="9" t="s">
        <v>2</v>
      </c>
      <c r="C695" s="285" t="s">
        <v>3</v>
      </c>
      <c r="D695" s="265"/>
      <c r="E695" s="265"/>
      <c r="F695" s="265"/>
      <c r="G695" s="265"/>
      <c r="H695" s="276"/>
    </row>
    <row r="696" spans="2:8" ht="32.25" customHeight="1">
      <c r="B696" s="1" t="s">
        <v>4</v>
      </c>
      <c r="C696" s="271" t="s">
        <v>5</v>
      </c>
      <c r="D696" s="253"/>
      <c r="E696" s="253"/>
      <c r="F696" s="253"/>
      <c r="G696" s="253"/>
      <c r="H696" s="254"/>
    </row>
    <row r="697" spans="2:8" ht="32.4" customHeight="1">
      <c r="B697" s="1" t="s">
        <v>6</v>
      </c>
      <c r="C697" s="278" t="s">
        <v>7</v>
      </c>
      <c r="D697" s="254"/>
      <c r="E697" s="11" t="s">
        <v>8</v>
      </c>
      <c r="F697" s="271" t="s">
        <v>9</v>
      </c>
      <c r="G697" s="253"/>
      <c r="H697" s="254"/>
    </row>
    <row r="698" spans="2:8" ht="88.95" customHeight="1">
      <c r="B698" s="1" t="s">
        <v>10</v>
      </c>
      <c r="C698" s="270" t="str">
        <f>'INVENTARIO CAJA 1'!E52</f>
        <v>Parte policial Nro. 2026062608132225302, Hoja de Ingreso y Salida Nro. 0002083, entregado al señor CEDEÑO YANEZ HUGO FABIAN, con cédula 1309276648 del Vehiculo Tipo BUS marca HINO, color AZUL con placas XAG0291, por ACCIDENTE DE TRANSITO.</v>
      </c>
      <c r="D698" s="253"/>
      <c r="E698" s="253"/>
      <c r="F698" s="253"/>
      <c r="G698" s="253"/>
      <c r="H698" s="254"/>
    </row>
    <row r="699" spans="2:8" ht="28.2" customHeight="1">
      <c r="B699" s="1" t="s">
        <v>12</v>
      </c>
      <c r="C699" s="272" t="s">
        <v>114</v>
      </c>
      <c r="D699" s="253"/>
      <c r="E699" s="253"/>
      <c r="F699" s="253"/>
      <c r="G699" s="253"/>
      <c r="H699" s="254"/>
    </row>
    <row r="700" spans="2:8" ht="25.2" customHeight="1">
      <c r="B700" s="1" t="s">
        <v>14</v>
      </c>
      <c r="C700" s="284">
        <f>'INVENTARIO CAJA 1'!F52</f>
        <v>46199</v>
      </c>
      <c r="D700" s="254"/>
      <c r="E700" s="3" t="s">
        <v>15</v>
      </c>
      <c r="F700" s="284">
        <f>'INVENTARIO CAJA 1'!G52</f>
        <v>46210</v>
      </c>
      <c r="G700" s="253"/>
      <c r="H700" s="254"/>
    </row>
    <row r="701" spans="2:8" ht="22.5" customHeight="1">
      <c r="B701" s="279" t="s">
        <v>16</v>
      </c>
      <c r="C701" s="272" t="s">
        <v>17</v>
      </c>
      <c r="D701" s="262"/>
      <c r="E701" s="272" t="s">
        <v>18</v>
      </c>
      <c r="F701" s="262"/>
      <c r="G701" s="3" t="s">
        <v>19</v>
      </c>
      <c r="H701" s="3"/>
    </row>
    <row r="702" spans="2:8" ht="17.25" customHeight="1">
      <c r="B702" s="280"/>
      <c r="C702" s="273"/>
      <c r="D702" s="274"/>
      <c r="E702" s="273"/>
      <c r="F702" s="274"/>
      <c r="G702" s="3" t="s">
        <v>20</v>
      </c>
      <c r="H702" s="3" t="s">
        <v>21</v>
      </c>
    </row>
    <row r="703" spans="2:8" ht="17.25" customHeight="1">
      <c r="B703" s="281"/>
      <c r="C703" s="275"/>
      <c r="D703" s="276"/>
      <c r="E703" s="275"/>
      <c r="F703" s="276"/>
      <c r="G703" s="3" t="s">
        <v>22</v>
      </c>
      <c r="H703" s="3"/>
    </row>
    <row r="704" spans="2:8" ht="25.8" customHeight="1">
      <c r="B704" s="279" t="s">
        <v>23</v>
      </c>
      <c r="C704" s="283" t="s">
        <v>24</v>
      </c>
      <c r="D704" s="272" t="s">
        <v>25</v>
      </c>
      <c r="E704" s="3" t="s">
        <v>26</v>
      </c>
      <c r="F704" s="3"/>
      <c r="G704" s="3" t="s">
        <v>27</v>
      </c>
      <c r="H704" s="12" t="s">
        <v>91</v>
      </c>
    </row>
    <row r="705" spans="2:8" ht="27.6" customHeight="1">
      <c r="B705" s="281"/>
      <c r="C705" s="275"/>
      <c r="D705" s="281"/>
      <c r="E705" s="3" t="s">
        <v>28</v>
      </c>
      <c r="F705" s="3" t="s">
        <v>29</v>
      </c>
      <c r="G705" s="3" t="s">
        <v>30</v>
      </c>
      <c r="H705" s="12" t="str">
        <f>IF('INVENTARIO CAJA 1'!D52&lt;&gt;"",'INVENTARIO CAJA 1'!D52,"1/1")</f>
        <v>1/1</v>
      </c>
    </row>
    <row r="708" spans="2:8" ht="61.2" customHeight="1">
      <c r="B708" s="7"/>
      <c r="C708" s="282" t="s">
        <v>35</v>
      </c>
      <c r="D708" s="269"/>
      <c r="E708" s="269"/>
      <c r="F708" s="269"/>
      <c r="G708" s="269"/>
      <c r="H708" s="262"/>
    </row>
    <row r="709" spans="2:8" ht="31.8" customHeight="1">
      <c r="B709" s="8"/>
      <c r="C709" s="277" t="s">
        <v>1</v>
      </c>
      <c r="D709" s="253"/>
      <c r="E709" s="253"/>
      <c r="F709" s="253"/>
      <c r="G709" s="253"/>
      <c r="H709" s="254"/>
    </row>
    <row r="710" spans="2:8" ht="18.75" customHeight="1">
      <c r="B710" s="9" t="s">
        <v>2</v>
      </c>
      <c r="C710" s="285" t="s">
        <v>3</v>
      </c>
      <c r="D710" s="265"/>
      <c r="E710" s="265"/>
      <c r="F710" s="265"/>
      <c r="G710" s="265"/>
      <c r="H710" s="276"/>
    </row>
    <row r="711" spans="2:8" ht="32.25" customHeight="1">
      <c r="B711" s="1" t="s">
        <v>4</v>
      </c>
      <c r="C711" s="271" t="s">
        <v>5</v>
      </c>
      <c r="D711" s="253"/>
      <c r="E711" s="253"/>
      <c r="F711" s="253"/>
      <c r="G711" s="253"/>
      <c r="H711" s="254"/>
    </row>
    <row r="712" spans="2:8" ht="32.4" customHeight="1">
      <c r="B712" s="1" t="s">
        <v>6</v>
      </c>
      <c r="C712" s="278" t="s">
        <v>7</v>
      </c>
      <c r="D712" s="254"/>
      <c r="E712" s="11" t="s">
        <v>8</v>
      </c>
      <c r="F712" s="271" t="s">
        <v>9</v>
      </c>
      <c r="G712" s="253"/>
      <c r="H712" s="254"/>
    </row>
    <row r="713" spans="2:8" ht="88.95" customHeight="1">
      <c r="B713" s="1" t="s">
        <v>10</v>
      </c>
      <c r="C713" s="270" t="str">
        <f>'INVENTARIO CAJA 1'!E53</f>
        <v>Parte policial Nro. 2026063001540128411, Hoja de Ingreso y Salida Nro. 0002086, entregado al señor ARMIJOS GODOY JAHANNA NOEMI, con cédula 0703663534 del Vehiculo Tipo CAMIÓN marca SINOTRUK, color BLANCO con placas KAA2251, por ART. 160.</v>
      </c>
      <c r="D713" s="253"/>
      <c r="E713" s="253"/>
      <c r="F713" s="253"/>
      <c r="G713" s="253"/>
      <c r="H713" s="254"/>
    </row>
    <row r="714" spans="2:8" ht="28.2" customHeight="1">
      <c r="B714" s="1" t="s">
        <v>12</v>
      </c>
      <c r="C714" s="272" t="s">
        <v>115</v>
      </c>
      <c r="D714" s="253"/>
      <c r="E714" s="253"/>
      <c r="F714" s="253"/>
      <c r="G714" s="253"/>
      <c r="H714" s="254"/>
    </row>
    <row r="715" spans="2:8" ht="25.2" customHeight="1">
      <c r="B715" s="1" t="s">
        <v>14</v>
      </c>
      <c r="C715" s="284">
        <f>'INVENTARIO CAJA 1'!F53</f>
        <v>46203</v>
      </c>
      <c r="D715" s="254"/>
      <c r="E715" s="3" t="s">
        <v>15</v>
      </c>
      <c r="F715" s="284">
        <f>'INVENTARIO CAJA 1'!G53</f>
        <v>46211</v>
      </c>
      <c r="G715" s="253"/>
      <c r="H715" s="254"/>
    </row>
    <row r="716" spans="2:8" ht="22.5" customHeight="1">
      <c r="B716" s="279" t="s">
        <v>16</v>
      </c>
      <c r="C716" s="272" t="s">
        <v>17</v>
      </c>
      <c r="D716" s="262"/>
      <c r="E716" s="272" t="s">
        <v>18</v>
      </c>
      <c r="F716" s="262"/>
      <c r="G716" s="3" t="s">
        <v>19</v>
      </c>
      <c r="H716" s="3"/>
    </row>
    <row r="717" spans="2:8" ht="17.25" customHeight="1">
      <c r="B717" s="280"/>
      <c r="C717" s="273"/>
      <c r="D717" s="274"/>
      <c r="E717" s="273"/>
      <c r="F717" s="274"/>
      <c r="G717" s="3" t="s">
        <v>20</v>
      </c>
      <c r="H717" s="3" t="s">
        <v>21</v>
      </c>
    </row>
    <row r="718" spans="2:8" ht="17.25" customHeight="1">
      <c r="B718" s="281"/>
      <c r="C718" s="275"/>
      <c r="D718" s="276"/>
      <c r="E718" s="275"/>
      <c r="F718" s="276"/>
      <c r="G718" s="3" t="s">
        <v>22</v>
      </c>
      <c r="H718" s="3"/>
    </row>
    <row r="719" spans="2:8" ht="25.8" customHeight="1">
      <c r="B719" s="279" t="s">
        <v>23</v>
      </c>
      <c r="C719" s="283" t="s">
        <v>24</v>
      </c>
      <c r="D719" s="272" t="s">
        <v>25</v>
      </c>
      <c r="E719" s="3" t="s">
        <v>26</v>
      </c>
      <c r="F719" s="3"/>
      <c r="G719" s="3" t="s">
        <v>27</v>
      </c>
      <c r="H719" s="12" t="s">
        <v>116</v>
      </c>
    </row>
    <row r="720" spans="2:8" ht="27.6" customHeight="1">
      <c r="B720" s="281"/>
      <c r="C720" s="275"/>
      <c r="D720" s="281"/>
      <c r="E720" s="3" t="s">
        <v>28</v>
      </c>
      <c r="F720" s="3" t="s">
        <v>29</v>
      </c>
      <c r="G720" s="3" t="s">
        <v>30</v>
      </c>
      <c r="H720" s="12" t="str">
        <f>IF('INVENTARIO CAJA 1'!D53&lt;&gt;"",'INVENTARIO CAJA 1'!D53,"1/1")</f>
        <v>1/1</v>
      </c>
    </row>
    <row r="723" spans="2:8" ht="61.2" customHeight="1">
      <c r="B723" s="7"/>
      <c r="C723" s="282" t="s">
        <v>35</v>
      </c>
      <c r="D723" s="269"/>
      <c r="E723" s="269"/>
      <c r="F723" s="269"/>
      <c r="G723" s="269"/>
      <c r="H723" s="262"/>
    </row>
    <row r="724" spans="2:8" ht="31.8" customHeight="1">
      <c r="B724" s="8"/>
      <c r="C724" s="277" t="s">
        <v>1</v>
      </c>
      <c r="D724" s="253"/>
      <c r="E724" s="253"/>
      <c r="F724" s="253"/>
      <c r="G724" s="253"/>
      <c r="H724" s="254"/>
    </row>
    <row r="725" spans="2:8" ht="18.75" customHeight="1">
      <c r="B725" s="9" t="s">
        <v>2</v>
      </c>
      <c r="C725" s="285" t="s">
        <v>3</v>
      </c>
      <c r="D725" s="265"/>
      <c r="E725" s="265"/>
      <c r="F725" s="265"/>
      <c r="G725" s="265"/>
      <c r="H725" s="276"/>
    </row>
    <row r="726" spans="2:8" ht="32.25" customHeight="1">
      <c r="B726" s="1" t="s">
        <v>4</v>
      </c>
      <c r="C726" s="271" t="s">
        <v>5</v>
      </c>
      <c r="D726" s="253"/>
      <c r="E726" s="253"/>
      <c r="F726" s="253"/>
      <c r="G726" s="253"/>
      <c r="H726" s="254"/>
    </row>
    <row r="727" spans="2:8" ht="32.4" customHeight="1">
      <c r="B727" s="1" t="s">
        <v>6</v>
      </c>
      <c r="C727" s="278" t="s">
        <v>7</v>
      </c>
      <c r="D727" s="254"/>
      <c r="E727" s="11" t="s">
        <v>8</v>
      </c>
      <c r="F727" s="271" t="s">
        <v>9</v>
      </c>
      <c r="G727" s="253"/>
      <c r="H727" s="254"/>
    </row>
    <row r="728" spans="2:8" ht="88.95" customHeight="1">
      <c r="B728" s="1" t="s">
        <v>10</v>
      </c>
      <c r="C728" s="270" t="str">
        <f>'INVENTARIO CAJA 1'!E54</f>
        <v>Parte policial Nro. 2026070610334185509, Hoja de Ingreso y Salida Nro. 0002087, entregado al señor GUERRA NARVAEZ YOLANDA ROSARIO, con cédula 0401069794 del Vehiculo Tipo TRACTO CAMIÓN marca KENWORTH, color AZUL con placas AAA2132, por ACCIDENTE DE TRANSITO.</v>
      </c>
      <c r="D728" s="253"/>
      <c r="E728" s="253"/>
      <c r="F728" s="253"/>
      <c r="G728" s="253"/>
      <c r="H728" s="254"/>
    </row>
    <row r="729" spans="2:8" ht="28.2" customHeight="1">
      <c r="B729" s="1" t="s">
        <v>12</v>
      </c>
      <c r="C729" s="272" t="s">
        <v>117</v>
      </c>
      <c r="D729" s="253"/>
      <c r="E729" s="253"/>
      <c r="F729" s="253"/>
      <c r="G729" s="253"/>
      <c r="H729" s="254"/>
    </row>
    <row r="730" spans="2:8" ht="25.2" customHeight="1">
      <c r="B730" s="1" t="s">
        <v>14</v>
      </c>
      <c r="C730" s="284">
        <f>'INVENTARIO CAJA 1'!F54</f>
        <v>46209</v>
      </c>
      <c r="D730" s="254"/>
      <c r="E730" s="3" t="s">
        <v>15</v>
      </c>
      <c r="F730" s="284">
        <f>'INVENTARIO CAJA 1'!G54</f>
        <v>46215</v>
      </c>
      <c r="G730" s="253"/>
      <c r="H730" s="254"/>
    </row>
    <row r="731" spans="2:8" ht="22.5" customHeight="1">
      <c r="B731" s="279" t="s">
        <v>16</v>
      </c>
      <c r="C731" s="272" t="s">
        <v>17</v>
      </c>
      <c r="D731" s="262"/>
      <c r="E731" s="272" t="s">
        <v>18</v>
      </c>
      <c r="F731" s="262"/>
      <c r="G731" s="3" t="s">
        <v>19</v>
      </c>
      <c r="H731" s="3"/>
    </row>
    <row r="732" spans="2:8" ht="17.25" customHeight="1">
      <c r="B732" s="280"/>
      <c r="C732" s="273"/>
      <c r="D732" s="274"/>
      <c r="E732" s="273"/>
      <c r="F732" s="274"/>
      <c r="G732" s="3" t="s">
        <v>20</v>
      </c>
      <c r="H732" s="3" t="s">
        <v>21</v>
      </c>
    </row>
    <row r="733" spans="2:8" ht="17.25" customHeight="1">
      <c r="B733" s="281"/>
      <c r="C733" s="275"/>
      <c r="D733" s="276"/>
      <c r="E733" s="275"/>
      <c r="F733" s="276"/>
      <c r="G733" s="3" t="s">
        <v>22</v>
      </c>
      <c r="H733" s="3"/>
    </row>
    <row r="734" spans="2:8" ht="25.8" customHeight="1">
      <c r="B734" s="279" t="s">
        <v>23</v>
      </c>
      <c r="C734" s="283" t="s">
        <v>24</v>
      </c>
      <c r="D734" s="272" t="s">
        <v>25</v>
      </c>
      <c r="E734" s="3" t="s">
        <v>26</v>
      </c>
      <c r="F734" s="3"/>
      <c r="G734" s="3" t="s">
        <v>27</v>
      </c>
      <c r="H734" s="12" t="s">
        <v>118</v>
      </c>
    </row>
    <row r="735" spans="2:8" ht="27.6" customHeight="1">
      <c r="B735" s="281"/>
      <c r="C735" s="275"/>
      <c r="D735" s="281"/>
      <c r="E735" s="3" t="s">
        <v>28</v>
      </c>
      <c r="F735" s="3" t="s">
        <v>29</v>
      </c>
      <c r="G735" s="3" t="s">
        <v>30</v>
      </c>
      <c r="H735" s="12" t="str">
        <f>IF('INVENTARIO CAJA 1'!D54&lt;&gt;"",'INVENTARIO CAJA 1'!D54,"1/1")</f>
        <v>1/1</v>
      </c>
    </row>
    <row r="738" spans="2:8" ht="61.2" customHeight="1">
      <c r="B738" s="7"/>
      <c r="C738" s="282" t="s">
        <v>35</v>
      </c>
      <c r="D738" s="269"/>
      <c r="E738" s="269"/>
      <c r="F738" s="269"/>
      <c r="G738" s="269"/>
      <c r="H738" s="262"/>
    </row>
    <row r="739" spans="2:8" ht="31.8" customHeight="1">
      <c r="B739" s="8"/>
      <c r="C739" s="277" t="s">
        <v>1</v>
      </c>
      <c r="D739" s="253"/>
      <c r="E739" s="253"/>
      <c r="F739" s="253"/>
      <c r="G739" s="253"/>
      <c r="H739" s="254"/>
    </row>
    <row r="740" spans="2:8" ht="18.75" customHeight="1">
      <c r="B740" s="9" t="s">
        <v>2</v>
      </c>
      <c r="C740" s="285" t="s">
        <v>3</v>
      </c>
      <c r="D740" s="265"/>
      <c r="E740" s="265"/>
      <c r="F740" s="265"/>
      <c r="G740" s="265"/>
      <c r="H740" s="276"/>
    </row>
    <row r="741" spans="2:8" ht="32.25" customHeight="1">
      <c r="B741" s="1" t="s">
        <v>4</v>
      </c>
      <c r="C741" s="271" t="s">
        <v>5</v>
      </c>
      <c r="D741" s="253"/>
      <c r="E741" s="253"/>
      <c r="F741" s="253"/>
      <c r="G741" s="253"/>
      <c r="H741" s="254"/>
    </row>
    <row r="742" spans="2:8" ht="32.4" customHeight="1">
      <c r="B742" s="1" t="s">
        <v>6</v>
      </c>
      <c r="C742" s="278" t="s">
        <v>7</v>
      </c>
      <c r="D742" s="254"/>
      <c r="E742" s="11" t="s">
        <v>8</v>
      </c>
      <c r="F742" s="271" t="s">
        <v>9</v>
      </c>
      <c r="G742" s="253"/>
      <c r="H742" s="254"/>
    </row>
    <row r="743" spans="2:8" ht="88.95" customHeight="1">
      <c r="B743" s="1" t="s">
        <v>10</v>
      </c>
      <c r="C743" s="270" t="str">
        <f>'INVENTARIO CAJA 1'!E55</f>
        <v>Parte policial Nro. 2026070910554584516, Hoja de Ingreso y Salida Nro. 0002088, entregado al señor CABSCANGO CHAVEZ LUIS GERMAN, con cédula 1002879417 del Vehiculo Tipo CAMIÓN marca HINO, color BLANCO con placas PQQ0425, por ART. 160.</v>
      </c>
      <c r="D743" s="253"/>
      <c r="E743" s="253"/>
      <c r="F743" s="253"/>
      <c r="G743" s="253"/>
      <c r="H743" s="254"/>
    </row>
    <row r="744" spans="2:8" ht="28.2" customHeight="1">
      <c r="B744" s="1" t="s">
        <v>12</v>
      </c>
      <c r="C744" s="272" t="s">
        <v>119</v>
      </c>
      <c r="D744" s="253"/>
      <c r="E744" s="253"/>
      <c r="F744" s="253"/>
      <c r="G744" s="253"/>
      <c r="H744" s="254"/>
    </row>
    <row r="745" spans="2:8" ht="25.2" customHeight="1">
      <c r="B745" s="1" t="s">
        <v>14</v>
      </c>
      <c r="C745" s="284">
        <f>'INVENTARIO CAJA 1'!F55</f>
        <v>46212</v>
      </c>
      <c r="D745" s="254"/>
      <c r="E745" s="3" t="s">
        <v>15</v>
      </c>
      <c r="F745" s="284">
        <f>'INVENTARIO CAJA 1'!G55</f>
        <v>46223</v>
      </c>
      <c r="G745" s="253"/>
      <c r="H745" s="254"/>
    </row>
    <row r="746" spans="2:8" ht="22.5" customHeight="1">
      <c r="B746" s="279" t="s">
        <v>16</v>
      </c>
      <c r="C746" s="272" t="s">
        <v>17</v>
      </c>
      <c r="D746" s="262"/>
      <c r="E746" s="272" t="s">
        <v>18</v>
      </c>
      <c r="F746" s="262"/>
      <c r="G746" s="3" t="s">
        <v>19</v>
      </c>
      <c r="H746" s="3"/>
    </row>
    <row r="747" spans="2:8" ht="17.25" customHeight="1">
      <c r="B747" s="280"/>
      <c r="C747" s="273"/>
      <c r="D747" s="274"/>
      <c r="E747" s="273"/>
      <c r="F747" s="274"/>
      <c r="G747" s="3" t="s">
        <v>20</v>
      </c>
      <c r="H747" s="3" t="s">
        <v>21</v>
      </c>
    </row>
    <row r="748" spans="2:8" ht="17.25" customHeight="1">
      <c r="B748" s="281"/>
      <c r="C748" s="275"/>
      <c r="D748" s="276"/>
      <c r="E748" s="275"/>
      <c r="F748" s="276"/>
      <c r="G748" s="3" t="s">
        <v>22</v>
      </c>
      <c r="H748" s="3"/>
    </row>
    <row r="749" spans="2:8" ht="25.8" customHeight="1">
      <c r="B749" s="279" t="s">
        <v>23</v>
      </c>
      <c r="C749" s="283" t="s">
        <v>24</v>
      </c>
      <c r="D749" s="272" t="s">
        <v>25</v>
      </c>
      <c r="E749" s="3" t="s">
        <v>26</v>
      </c>
      <c r="F749" s="3"/>
      <c r="G749" s="3" t="s">
        <v>27</v>
      </c>
      <c r="H749" s="12" t="s">
        <v>120</v>
      </c>
    </row>
    <row r="750" spans="2:8" ht="27.6" customHeight="1">
      <c r="B750" s="281"/>
      <c r="C750" s="275"/>
      <c r="D750" s="281"/>
      <c r="E750" s="3" t="s">
        <v>28</v>
      </c>
      <c r="F750" s="3" t="s">
        <v>29</v>
      </c>
      <c r="G750" s="3" t="s">
        <v>30</v>
      </c>
      <c r="H750" s="12" t="str">
        <f>IF('INVENTARIO CAJA 1'!D55&lt;&gt;"",'INVENTARIO CAJA 1'!D55,"1/1")</f>
        <v>1/1</v>
      </c>
    </row>
    <row r="753" spans="2:8" ht="61.2" customHeight="1">
      <c r="B753" s="7"/>
      <c r="C753" s="282" t="s">
        <v>35</v>
      </c>
      <c r="D753" s="269"/>
      <c r="E753" s="269"/>
      <c r="F753" s="269"/>
      <c r="G753" s="269"/>
      <c r="H753" s="262"/>
    </row>
    <row r="754" spans="2:8" ht="31.8" customHeight="1">
      <c r="B754" s="8"/>
      <c r="C754" s="277" t="s">
        <v>1</v>
      </c>
      <c r="D754" s="253"/>
      <c r="E754" s="253"/>
      <c r="F754" s="253"/>
      <c r="G754" s="253"/>
      <c r="H754" s="254"/>
    </row>
    <row r="755" spans="2:8" ht="18.75" customHeight="1">
      <c r="B755" s="9" t="s">
        <v>2</v>
      </c>
      <c r="C755" s="285" t="s">
        <v>3</v>
      </c>
      <c r="D755" s="265"/>
      <c r="E755" s="265"/>
      <c r="F755" s="265"/>
      <c r="G755" s="265"/>
      <c r="H755" s="276"/>
    </row>
    <row r="756" spans="2:8" ht="32.25" customHeight="1">
      <c r="B756" s="1" t="s">
        <v>4</v>
      </c>
      <c r="C756" s="271" t="s">
        <v>5</v>
      </c>
      <c r="D756" s="253"/>
      <c r="E756" s="253"/>
      <c r="F756" s="253"/>
      <c r="G756" s="253"/>
      <c r="H756" s="254"/>
    </row>
    <row r="757" spans="2:8" ht="32.4" customHeight="1">
      <c r="B757" s="1" t="s">
        <v>6</v>
      </c>
      <c r="C757" s="278" t="s">
        <v>7</v>
      </c>
      <c r="D757" s="254"/>
      <c r="E757" s="11" t="s">
        <v>8</v>
      </c>
      <c r="F757" s="271" t="s">
        <v>9</v>
      </c>
      <c r="G757" s="253"/>
      <c r="H757" s="254"/>
    </row>
    <row r="758" spans="2:8" ht="88.95" customHeight="1">
      <c r="B758" s="1" t="s">
        <v>10</v>
      </c>
      <c r="C758" s="270" t="str">
        <f>'INVENTARIO CAJA 1'!E56</f>
        <v>Parte policial Nro. 2026070901480898413, Hoja de Ingreso y Salida Nro. 0002089, entregado al señor SIGMAEC CIA. LTDA., con cédula 1719633438 del Vehiculo Tipo FURGON marca CHEVROLET, color BLANCO con placas PDX5967, por ACCIDENTE DE TRANSITO.</v>
      </c>
      <c r="D758" s="253"/>
      <c r="E758" s="253"/>
      <c r="F758" s="253"/>
      <c r="G758" s="253"/>
      <c r="H758" s="254"/>
    </row>
    <row r="759" spans="2:8" ht="28.2" customHeight="1">
      <c r="B759" s="1" t="s">
        <v>12</v>
      </c>
      <c r="C759" s="272" t="s">
        <v>121</v>
      </c>
      <c r="D759" s="253"/>
      <c r="E759" s="253"/>
      <c r="F759" s="253"/>
      <c r="G759" s="253"/>
      <c r="H759" s="254"/>
    </row>
    <row r="760" spans="2:8" ht="25.2" customHeight="1">
      <c r="B760" s="1" t="s">
        <v>14</v>
      </c>
      <c r="C760" s="284">
        <f>'INVENTARIO CAJA 1'!F56</f>
        <v>46212</v>
      </c>
      <c r="D760" s="254"/>
      <c r="E760" s="3" t="s">
        <v>15</v>
      </c>
      <c r="F760" s="284">
        <f>'INVENTARIO CAJA 1'!G56</f>
        <v>46231</v>
      </c>
      <c r="G760" s="253"/>
      <c r="H760" s="254"/>
    </row>
    <row r="761" spans="2:8" ht="22.5" customHeight="1">
      <c r="B761" s="279" t="s">
        <v>16</v>
      </c>
      <c r="C761" s="272" t="s">
        <v>17</v>
      </c>
      <c r="D761" s="262"/>
      <c r="E761" s="272" t="s">
        <v>18</v>
      </c>
      <c r="F761" s="262"/>
      <c r="G761" s="3" t="s">
        <v>19</v>
      </c>
      <c r="H761" s="3"/>
    </row>
    <row r="762" spans="2:8" ht="17.25" customHeight="1">
      <c r="B762" s="280"/>
      <c r="C762" s="273"/>
      <c r="D762" s="274"/>
      <c r="E762" s="273"/>
      <c r="F762" s="274"/>
      <c r="G762" s="3" t="s">
        <v>20</v>
      </c>
      <c r="H762" s="3" t="s">
        <v>21</v>
      </c>
    </row>
    <row r="763" spans="2:8" ht="17.25" customHeight="1">
      <c r="B763" s="281"/>
      <c r="C763" s="275"/>
      <c r="D763" s="276"/>
      <c r="E763" s="275"/>
      <c r="F763" s="276"/>
      <c r="G763" s="3" t="s">
        <v>22</v>
      </c>
      <c r="H763" s="3"/>
    </row>
    <row r="764" spans="2:8" ht="25.8" customHeight="1">
      <c r="B764" s="279" t="s">
        <v>23</v>
      </c>
      <c r="C764" s="283" t="s">
        <v>24</v>
      </c>
      <c r="D764" s="272" t="s">
        <v>25</v>
      </c>
      <c r="E764" s="3" t="s">
        <v>26</v>
      </c>
      <c r="F764" s="3"/>
      <c r="G764" s="3" t="s">
        <v>27</v>
      </c>
      <c r="H764" s="12" t="s">
        <v>91</v>
      </c>
    </row>
    <row r="765" spans="2:8" ht="27.6" customHeight="1">
      <c r="B765" s="281"/>
      <c r="C765" s="275"/>
      <c r="D765" s="281"/>
      <c r="E765" s="3" t="s">
        <v>28</v>
      </c>
      <c r="F765" s="3" t="s">
        <v>29</v>
      </c>
      <c r="G765" s="3" t="s">
        <v>30</v>
      </c>
      <c r="H765" s="12" t="str">
        <f>IF('INVENTARIO CAJA 1'!D56&lt;&gt;"",'INVENTARIO CAJA 1'!D56,"1/1")</f>
        <v>1/1</v>
      </c>
    </row>
    <row r="768" spans="2:8" ht="61.2" customHeight="1">
      <c r="B768" s="7"/>
      <c r="C768" s="282" t="s">
        <v>35</v>
      </c>
      <c r="D768" s="269"/>
      <c r="E768" s="269"/>
      <c r="F768" s="269"/>
      <c r="G768" s="269"/>
      <c r="H768" s="262"/>
    </row>
    <row r="769" spans="2:8" ht="31.8" customHeight="1">
      <c r="B769" s="8"/>
      <c r="C769" s="277" t="s">
        <v>1</v>
      </c>
      <c r="D769" s="253"/>
      <c r="E769" s="253"/>
      <c r="F769" s="253"/>
      <c r="G769" s="253"/>
      <c r="H769" s="254"/>
    </row>
    <row r="770" spans="2:8" ht="18.75" customHeight="1">
      <c r="B770" s="9" t="s">
        <v>2</v>
      </c>
      <c r="C770" s="285" t="s">
        <v>3</v>
      </c>
      <c r="D770" s="265"/>
      <c r="E770" s="265"/>
      <c r="F770" s="265"/>
      <c r="G770" s="265"/>
      <c r="H770" s="276"/>
    </row>
    <row r="771" spans="2:8" ht="32.25" customHeight="1">
      <c r="B771" s="1" t="s">
        <v>4</v>
      </c>
      <c r="C771" s="271" t="s">
        <v>5</v>
      </c>
      <c r="D771" s="253"/>
      <c r="E771" s="253"/>
      <c r="F771" s="253"/>
      <c r="G771" s="253"/>
      <c r="H771" s="254"/>
    </row>
    <row r="772" spans="2:8" ht="32.4" customHeight="1">
      <c r="B772" s="1" t="s">
        <v>6</v>
      </c>
      <c r="C772" s="278" t="s">
        <v>7</v>
      </c>
      <c r="D772" s="254"/>
      <c r="E772" s="11" t="s">
        <v>8</v>
      </c>
      <c r="F772" s="271" t="s">
        <v>9</v>
      </c>
      <c r="G772" s="253"/>
      <c r="H772" s="254"/>
    </row>
    <row r="773" spans="2:8" ht="88.95" customHeight="1">
      <c r="B773" s="1" t="s">
        <v>10</v>
      </c>
      <c r="C773" s="270" t="str">
        <f>'INVENTARIO CAJA 1'!E57</f>
        <v>Parte policial Nro. 2026071409104162713, Hoja de Ingreso y Salida Nro. 0002090, entregado al señor ROMERO ABARCA DENNISE ESTEFANIA, con cédula 1714988795 del Vehiculo Tipo BUS marca HINO, color AZUL con placas XAA4034, por ACCIDENTE DE TRANSITO.</v>
      </c>
      <c r="D773" s="253"/>
      <c r="E773" s="253"/>
      <c r="F773" s="253"/>
      <c r="G773" s="253"/>
      <c r="H773" s="254"/>
    </row>
    <row r="774" spans="2:8" ht="28.2" customHeight="1">
      <c r="B774" s="1" t="s">
        <v>12</v>
      </c>
      <c r="C774" s="272" t="s">
        <v>122</v>
      </c>
      <c r="D774" s="253"/>
      <c r="E774" s="253"/>
      <c r="F774" s="253"/>
      <c r="G774" s="253"/>
      <c r="H774" s="254"/>
    </row>
    <row r="775" spans="2:8" ht="25.2" customHeight="1">
      <c r="B775" s="1" t="s">
        <v>14</v>
      </c>
      <c r="C775" s="284">
        <f>'INVENTARIO CAJA 1'!F57</f>
        <v>46217</v>
      </c>
      <c r="D775" s="254"/>
      <c r="E775" s="3" t="s">
        <v>15</v>
      </c>
      <c r="F775" s="284">
        <f>'INVENTARIO CAJA 1'!G57</f>
        <v>46218</v>
      </c>
      <c r="G775" s="253"/>
      <c r="H775" s="254"/>
    </row>
    <row r="776" spans="2:8" ht="22.5" customHeight="1">
      <c r="B776" s="279" t="s">
        <v>16</v>
      </c>
      <c r="C776" s="272" t="s">
        <v>17</v>
      </c>
      <c r="D776" s="262"/>
      <c r="E776" s="272" t="s">
        <v>18</v>
      </c>
      <c r="F776" s="262"/>
      <c r="G776" s="3" t="s">
        <v>19</v>
      </c>
      <c r="H776" s="3"/>
    </row>
    <row r="777" spans="2:8" ht="17.25" customHeight="1">
      <c r="B777" s="280"/>
      <c r="C777" s="273"/>
      <c r="D777" s="274"/>
      <c r="E777" s="273"/>
      <c r="F777" s="274"/>
      <c r="G777" s="3" t="s">
        <v>20</v>
      </c>
      <c r="H777" s="3" t="s">
        <v>21</v>
      </c>
    </row>
    <row r="778" spans="2:8" ht="17.25" customHeight="1">
      <c r="B778" s="281"/>
      <c r="C778" s="275"/>
      <c r="D778" s="276"/>
      <c r="E778" s="275"/>
      <c r="F778" s="276"/>
      <c r="G778" s="3" t="s">
        <v>22</v>
      </c>
      <c r="H778" s="3"/>
    </row>
    <row r="779" spans="2:8" ht="25.8" customHeight="1">
      <c r="B779" s="279" t="s">
        <v>23</v>
      </c>
      <c r="C779" s="283" t="s">
        <v>24</v>
      </c>
      <c r="D779" s="272" t="s">
        <v>25</v>
      </c>
      <c r="E779" s="3" t="s">
        <v>26</v>
      </c>
      <c r="F779" s="3"/>
      <c r="G779" s="3" t="s">
        <v>27</v>
      </c>
      <c r="H779" s="12" t="s">
        <v>123</v>
      </c>
    </row>
    <row r="780" spans="2:8" ht="27.6" customHeight="1">
      <c r="B780" s="281"/>
      <c r="C780" s="275"/>
      <c r="D780" s="281"/>
      <c r="E780" s="3" t="s">
        <v>28</v>
      </c>
      <c r="F780" s="3" t="s">
        <v>29</v>
      </c>
      <c r="G780" s="3" t="s">
        <v>30</v>
      </c>
      <c r="H780" s="12" t="str">
        <f>IF('INVENTARIO CAJA 1'!D57&lt;&gt;"",'INVENTARIO CAJA 1'!D57,"1/1")</f>
        <v>1/1</v>
      </c>
    </row>
    <row r="783" spans="2:8" ht="61.2" customHeight="1">
      <c r="B783" s="7"/>
      <c r="C783" s="282" t="s">
        <v>35</v>
      </c>
      <c r="D783" s="269"/>
      <c r="E783" s="269"/>
      <c r="F783" s="269"/>
      <c r="G783" s="269"/>
      <c r="H783" s="262"/>
    </row>
    <row r="784" spans="2:8" ht="31.8" customHeight="1">
      <c r="B784" s="8"/>
      <c r="C784" s="277" t="s">
        <v>1</v>
      </c>
      <c r="D784" s="253"/>
      <c r="E784" s="253"/>
      <c r="F784" s="253"/>
      <c r="G784" s="253"/>
      <c r="H784" s="254"/>
    </row>
    <row r="785" spans="2:8" ht="18.75" customHeight="1">
      <c r="B785" s="9" t="s">
        <v>2</v>
      </c>
      <c r="C785" s="285" t="s">
        <v>3</v>
      </c>
      <c r="D785" s="265"/>
      <c r="E785" s="265"/>
      <c r="F785" s="265"/>
      <c r="G785" s="265"/>
      <c r="H785" s="276"/>
    </row>
    <row r="786" spans="2:8" ht="32.25" customHeight="1">
      <c r="B786" s="1" t="s">
        <v>4</v>
      </c>
      <c r="C786" s="271" t="s">
        <v>5</v>
      </c>
      <c r="D786" s="253"/>
      <c r="E786" s="253"/>
      <c r="F786" s="253"/>
      <c r="G786" s="253"/>
      <c r="H786" s="254"/>
    </row>
    <row r="787" spans="2:8" ht="32.4" customHeight="1">
      <c r="B787" s="1" t="s">
        <v>6</v>
      </c>
      <c r="C787" s="278" t="s">
        <v>7</v>
      </c>
      <c r="D787" s="254"/>
      <c r="E787" s="11" t="s">
        <v>8</v>
      </c>
      <c r="F787" s="271" t="s">
        <v>9</v>
      </c>
      <c r="G787" s="253"/>
      <c r="H787" s="254"/>
    </row>
    <row r="788" spans="2:8" ht="88.95" customHeight="1">
      <c r="B788" s="1" t="s">
        <v>10</v>
      </c>
      <c r="C788" s="270" t="str">
        <f>'INVENTARIO CAJA 1'!E58</f>
        <v>Parte policial Nro. 2026071703415419318, Hoja de Ingreso y Salida Nro. 0002091, entregado al señor GUACHICULLCA ARIAS LUIS, con cédula 1723801773 del Vehiculo Tipo FURGON marca HYUNDAI, color BLANCO con placas PPC3401, por ART. 386 INCISO 2 #2.</v>
      </c>
      <c r="D788" s="253"/>
      <c r="E788" s="253"/>
      <c r="F788" s="253"/>
      <c r="G788" s="253"/>
      <c r="H788" s="254"/>
    </row>
    <row r="789" spans="2:8" ht="28.2" customHeight="1">
      <c r="B789" s="1" t="s">
        <v>12</v>
      </c>
      <c r="C789" s="272" t="s">
        <v>124</v>
      </c>
      <c r="D789" s="253"/>
      <c r="E789" s="253"/>
      <c r="F789" s="253"/>
      <c r="G789" s="253"/>
      <c r="H789" s="254"/>
    </row>
    <row r="790" spans="2:8" ht="25.2" customHeight="1">
      <c r="B790" s="1" t="s">
        <v>14</v>
      </c>
      <c r="C790" s="284">
        <f>'INVENTARIO CAJA 1'!F58</f>
        <v>46220</v>
      </c>
      <c r="D790" s="254"/>
      <c r="E790" s="3" t="s">
        <v>15</v>
      </c>
      <c r="F790" s="284">
        <f>'INVENTARIO CAJA 1'!G58</f>
        <v>46239</v>
      </c>
      <c r="G790" s="253"/>
      <c r="H790" s="254"/>
    </row>
    <row r="791" spans="2:8" ht="22.5" customHeight="1">
      <c r="B791" s="279" t="s">
        <v>16</v>
      </c>
      <c r="C791" s="272" t="s">
        <v>17</v>
      </c>
      <c r="D791" s="262"/>
      <c r="E791" s="272" t="s">
        <v>18</v>
      </c>
      <c r="F791" s="262"/>
      <c r="G791" s="3" t="s">
        <v>19</v>
      </c>
      <c r="H791" s="3"/>
    </row>
    <row r="792" spans="2:8" ht="17.25" customHeight="1">
      <c r="B792" s="280"/>
      <c r="C792" s="273"/>
      <c r="D792" s="274"/>
      <c r="E792" s="273"/>
      <c r="F792" s="274"/>
      <c r="G792" s="3" t="s">
        <v>20</v>
      </c>
      <c r="H792" s="3" t="s">
        <v>21</v>
      </c>
    </row>
    <row r="793" spans="2:8" ht="17.25" customHeight="1">
      <c r="B793" s="281"/>
      <c r="C793" s="275"/>
      <c r="D793" s="276"/>
      <c r="E793" s="275"/>
      <c r="F793" s="276"/>
      <c r="G793" s="3" t="s">
        <v>22</v>
      </c>
      <c r="H793" s="3"/>
    </row>
    <row r="794" spans="2:8" ht="25.8" customHeight="1">
      <c r="B794" s="279" t="s">
        <v>23</v>
      </c>
      <c r="C794" s="283" t="s">
        <v>24</v>
      </c>
      <c r="D794" s="272" t="s">
        <v>25</v>
      </c>
      <c r="E794" s="3" t="s">
        <v>26</v>
      </c>
      <c r="F794" s="3"/>
      <c r="G794" s="3" t="s">
        <v>27</v>
      </c>
      <c r="H794" s="12" t="s">
        <v>125</v>
      </c>
    </row>
    <row r="795" spans="2:8" ht="27.6" customHeight="1">
      <c r="B795" s="281"/>
      <c r="C795" s="275"/>
      <c r="D795" s="281"/>
      <c r="E795" s="3" t="s">
        <v>28</v>
      </c>
      <c r="F795" s="3" t="s">
        <v>29</v>
      </c>
      <c r="G795" s="3" t="s">
        <v>30</v>
      </c>
      <c r="H795" s="12" t="str">
        <f>IF('INVENTARIO CAJA 1'!D58&lt;&gt;"",'INVENTARIO CAJA 1'!D58,"1/1")</f>
        <v>1/1</v>
      </c>
    </row>
    <row r="798" spans="2:8" ht="61.2" customHeight="1">
      <c r="B798" s="7"/>
      <c r="C798" s="282" t="s">
        <v>35</v>
      </c>
      <c r="D798" s="269"/>
      <c r="E798" s="269"/>
      <c r="F798" s="269"/>
      <c r="G798" s="269"/>
      <c r="H798" s="262"/>
    </row>
    <row r="799" spans="2:8" ht="31.8" customHeight="1">
      <c r="B799" s="8"/>
      <c r="C799" s="277" t="s">
        <v>1</v>
      </c>
      <c r="D799" s="253"/>
      <c r="E799" s="253"/>
      <c r="F799" s="253"/>
      <c r="G799" s="253"/>
      <c r="H799" s="254"/>
    </row>
    <row r="800" spans="2:8" ht="18.75" customHeight="1">
      <c r="B800" s="9" t="s">
        <v>2</v>
      </c>
      <c r="C800" s="285" t="s">
        <v>3</v>
      </c>
      <c r="D800" s="265"/>
      <c r="E800" s="265"/>
      <c r="F800" s="265"/>
      <c r="G800" s="265"/>
      <c r="H800" s="276"/>
    </row>
    <row r="801" spans="2:8" ht="32.25" customHeight="1">
      <c r="B801" s="1" t="s">
        <v>4</v>
      </c>
      <c r="C801" s="271" t="s">
        <v>5</v>
      </c>
      <c r="D801" s="253"/>
      <c r="E801" s="253"/>
      <c r="F801" s="253"/>
      <c r="G801" s="253"/>
      <c r="H801" s="254"/>
    </row>
    <row r="802" spans="2:8" ht="32.4" customHeight="1">
      <c r="B802" s="1" t="s">
        <v>6</v>
      </c>
      <c r="C802" s="278" t="s">
        <v>7</v>
      </c>
      <c r="D802" s="254"/>
      <c r="E802" s="11" t="s">
        <v>8</v>
      </c>
      <c r="F802" s="271" t="s">
        <v>9</v>
      </c>
      <c r="G802" s="253"/>
      <c r="H802" s="254"/>
    </row>
    <row r="803" spans="2:8" ht="88.95" customHeight="1">
      <c r="B803" s="1" t="s">
        <v>10</v>
      </c>
      <c r="C803" s="270" t="str">
        <f>'INVENTARIO CAJA 1'!E59</f>
        <v>Parte policial Nro. 2026061809194716316, Hoja de Ingreso y Salida Nro. 0002081, entregado al señor EXTRACTORA AGRICOLA RIO MANSO EXA S.A. , con cédula 1307482693 del Vehiculo Tipo VOLQUETA marca INTERNACIONAL, color BLANCO con placas PTL0970, por ACCIDENTE DE TRANSITO.</v>
      </c>
      <c r="D803" s="253"/>
      <c r="E803" s="253"/>
      <c r="F803" s="253"/>
      <c r="G803" s="253"/>
      <c r="H803" s="254"/>
    </row>
    <row r="804" spans="2:8" ht="28.2" customHeight="1">
      <c r="B804" s="1" t="s">
        <v>12</v>
      </c>
      <c r="C804" s="272" t="s">
        <v>126</v>
      </c>
      <c r="D804" s="253"/>
      <c r="E804" s="253"/>
      <c r="F804" s="253"/>
      <c r="G804" s="253"/>
      <c r="H804" s="254"/>
    </row>
    <row r="805" spans="2:8" ht="25.2" customHeight="1">
      <c r="B805" s="1" t="s">
        <v>14</v>
      </c>
      <c r="C805" s="284">
        <f>'INVENTARIO CAJA 1'!F59</f>
        <v>46191</v>
      </c>
      <c r="D805" s="254"/>
      <c r="E805" s="3" t="s">
        <v>15</v>
      </c>
      <c r="F805" s="284">
        <f>'INVENTARIO CAJA 1'!G59</f>
        <v>46235</v>
      </c>
      <c r="G805" s="253"/>
      <c r="H805" s="254"/>
    </row>
    <row r="806" spans="2:8" ht="22.5" customHeight="1">
      <c r="B806" s="279" t="s">
        <v>16</v>
      </c>
      <c r="C806" s="272" t="s">
        <v>17</v>
      </c>
      <c r="D806" s="262"/>
      <c r="E806" s="272" t="s">
        <v>18</v>
      </c>
      <c r="F806" s="262"/>
      <c r="G806" s="3" t="s">
        <v>19</v>
      </c>
      <c r="H806" s="3"/>
    </row>
    <row r="807" spans="2:8" ht="17.25" customHeight="1">
      <c r="B807" s="280"/>
      <c r="C807" s="273"/>
      <c r="D807" s="274"/>
      <c r="E807" s="273"/>
      <c r="F807" s="274"/>
      <c r="G807" s="3" t="s">
        <v>20</v>
      </c>
      <c r="H807" s="3" t="s">
        <v>21</v>
      </c>
    </row>
    <row r="808" spans="2:8" ht="17.25" customHeight="1">
      <c r="B808" s="281"/>
      <c r="C808" s="275"/>
      <c r="D808" s="276"/>
      <c r="E808" s="275"/>
      <c r="F808" s="276"/>
      <c r="G808" s="3" t="s">
        <v>22</v>
      </c>
      <c r="H808" s="3"/>
    </row>
    <row r="809" spans="2:8" ht="25.8" customHeight="1">
      <c r="B809" s="279" t="s">
        <v>23</v>
      </c>
      <c r="C809" s="283" t="s">
        <v>24</v>
      </c>
      <c r="D809" s="272" t="s">
        <v>25</v>
      </c>
      <c r="E809" s="3" t="s">
        <v>26</v>
      </c>
      <c r="F809" s="3"/>
      <c r="G809" s="3" t="s">
        <v>27</v>
      </c>
      <c r="H809" s="12" t="s">
        <v>127</v>
      </c>
    </row>
    <row r="810" spans="2:8" ht="27.6" customHeight="1">
      <c r="B810" s="281"/>
      <c r="C810" s="275"/>
      <c r="D810" s="281"/>
      <c r="E810" s="3" t="s">
        <v>28</v>
      </c>
      <c r="F810" s="3" t="s">
        <v>29</v>
      </c>
      <c r="G810" s="3" t="s">
        <v>30</v>
      </c>
      <c r="H810" s="12" t="str">
        <f>IF('INVENTARIO CAJA 1'!D59&lt;&gt;"",'INVENTARIO CAJA 1'!D59,"1/1")</f>
        <v>1/1</v>
      </c>
    </row>
    <row r="813" spans="2:8" ht="61.2" customHeight="1">
      <c r="B813" s="7"/>
      <c r="C813" s="282" t="s">
        <v>35</v>
      </c>
      <c r="D813" s="269"/>
      <c r="E813" s="269"/>
      <c r="F813" s="269"/>
      <c r="G813" s="269"/>
      <c r="H813" s="262"/>
    </row>
    <row r="814" spans="2:8" ht="31.8" customHeight="1">
      <c r="B814" s="8"/>
      <c r="C814" s="277" t="s">
        <v>1</v>
      </c>
      <c r="D814" s="253"/>
      <c r="E814" s="253"/>
      <c r="F814" s="253"/>
      <c r="G814" s="253"/>
      <c r="H814" s="254"/>
    </row>
    <row r="815" spans="2:8" ht="18.75" customHeight="1">
      <c r="B815" s="9" t="s">
        <v>2</v>
      </c>
      <c r="C815" s="285" t="s">
        <v>3</v>
      </c>
      <c r="D815" s="265"/>
      <c r="E815" s="265"/>
      <c r="F815" s="265"/>
      <c r="G815" s="265"/>
      <c r="H815" s="276"/>
    </row>
    <row r="816" spans="2:8" ht="32.25" customHeight="1">
      <c r="B816" s="1" t="s">
        <v>4</v>
      </c>
      <c r="C816" s="271" t="s">
        <v>5</v>
      </c>
      <c r="D816" s="253"/>
      <c r="E816" s="253"/>
      <c r="F816" s="253"/>
      <c r="G816" s="253"/>
      <c r="H816" s="254"/>
    </row>
    <row r="817" spans="2:8" ht="32.4" customHeight="1">
      <c r="B817" s="1" t="s">
        <v>6</v>
      </c>
      <c r="C817" s="278" t="s">
        <v>7</v>
      </c>
      <c r="D817" s="254"/>
      <c r="E817" s="11" t="s">
        <v>8</v>
      </c>
      <c r="F817" s="271" t="s">
        <v>9</v>
      </c>
      <c r="G817" s="253"/>
      <c r="H817" s="254"/>
    </row>
    <row r="818" spans="2:8" ht="88.95" customHeight="1">
      <c r="B818" s="1" t="s">
        <v>10</v>
      </c>
      <c r="C818" s="270" t="str">
        <f>'INVENTARIO CAJA 1'!E60</f>
        <v>Parte policial Nro. 2026062708383249212, Hoja de Ingreso y Salida Nro. 0002085, entregado al señor MENDOZA RENDON ORLANDO ALEJANDRO, con cédula 0502246978 del Vehiculo Tipo AUTOBUS marca HINO, color AZUL con placas IAI3101, por ART. 389 NUMERAL 7.</v>
      </c>
      <c r="D818" s="253"/>
      <c r="E818" s="253"/>
      <c r="F818" s="253"/>
      <c r="G818" s="253"/>
      <c r="H818" s="254"/>
    </row>
    <row r="819" spans="2:8" ht="28.2" customHeight="1">
      <c r="B819" s="1" t="s">
        <v>12</v>
      </c>
      <c r="C819" s="272" t="s">
        <v>128</v>
      </c>
      <c r="D819" s="253"/>
      <c r="E819" s="253"/>
      <c r="F819" s="253"/>
      <c r="G819" s="253"/>
      <c r="H819" s="254"/>
    </row>
    <row r="820" spans="2:8" ht="25.2" customHeight="1">
      <c r="B820" s="1" t="s">
        <v>14</v>
      </c>
      <c r="C820" s="284">
        <f>'INVENTARIO CAJA 1'!F60</f>
        <v>46200</v>
      </c>
      <c r="D820" s="254"/>
      <c r="E820" s="3" t="s">
        <v>15</v>
      </c>
      <c r="F820" s="284">
        <f>'INVENTARIO CAJA 1'!G60</f>
        <v>46218</v>
      </c>
      <c r="G820" s="253"/>
      <c r="H820" s="254"/>
    </row>
    <row r="821" spans="2:8" ht="22.5" customHeight="1">
      <c r="B821" s="279" t="s">
        <v>16</v>
      </c>
      <c r="C821" s="272" t="s">
        <v>17</v>
      </c>
      <c r="D821" s="262"/>
      <c r="E821" s="272" t="s">
        <v>18</v>
      </c>
      <c r="F821" s="262"/>
      <c r="G821" s="3" t="s">
        <v>19</v>
      </c>
      <c r="H821" s="3"/>
    </row>
    <row r="822" spans="2:8" ht="17.25" customHeight="1">
      <c r="B822" s="280"/>
      <c r="C822" s="273"/>
      <c r="D822" s="274"/>
      <c r="E822" s="273"/>
      <c r="F822" s="274"/>
      <c r="G822" s="3" t="s">
        <v>20</v>
      </c>
      <c r="H822" s="3" t="s">
        <v>21</v>
      </c>
    </row>
    <row r="823" spans="2:8" ht="17.25" customHeight="1">
      <c r="B823" s="281"/>
      <c r="C823" s="275"/>
      <c r="D823" s="276"/>
      <c r="E823" s="275"/>
      <c r="F823" s="276"/>
      <c r="G823" s="3" t="s">
        <v>22</v>
      </c>
      <c r="H823" s="3"/>
    </row>
    <row r="824" spans="2:8" ht="25.8" customHeight="1">
      <c r="B824" s="279" t="s">
        <v>23</v>
      </c>
      <c r="C824" s="283" t="s">
        <v>24</v>
      </c>
      <c r="D824" s="272" t="s">
        <v>25</v>
      </c>
      <c r="E824" s="3" t="s">
        <v>26</v>
      </c>
      <c r="F824" s="3"/>
      <c r="G824" s="3" t="s">
        <v>27</v>
      </c>
      <c r="H824" s="12" t="s">
        <v>129</v>
      </c>
    </row>
    <row r="825" spans="2:8" ht="27.6" customHeight="1">
      <c r="B825" s="281"/>
      <c r="C825" s="275"/>
      <c r="D825" s="281"/>
      <c r="E825" s="3" t="s">
        <v>28</v>
      </c>
      <c r="F825" s="3" t="s">
        <v>29</v>
      </c>
      <c r="G825" s="3" t="s">
        <v>30</v>
      </c>
      <c r="H825" s="12" t="str">
        <f>IF('INVENTARIO CAJA 1'!D60&lt;&gt;"",'INVENTARIO CAJA 1'!D60,"1/1")</f>
        <v>1/1</v>
      </c>
    </row>
    <row r="828" spans="2:8" ht="61.2" customHeight="1">
      <c r="B828" s="7"/>
      <c r="C828" s="282" t="s">
        <v>35</v>
      </c>
      <c r="D828" s="269"/>
      <c r="E828" s="269"/>
      <c r="F828" s="269"/>
      <c r="G828" s="269"/>
      <c r="H828" s="262"/>
    </row>
    <row r="829" spans="2:8" ht="31.8" customHeight="1">
      <c r="B829" s="8"/>
      <c r="C829" s="277" t="s">
        <v>1</v>
      </c>
      <c r="D829" s="253"/>
      <c r="E829" s="253"/>
      <c r="F829" s="253"/>
      <c r="G829" s="253"/>
      <c r="H829" s="254"/>
    </row>
    <row r="830" spans="2:8" ht="18.75" customHeight="1">
      <c r="B830" s="9" t="s">
        <v>2</v>
      </c>
      <c r="C830" s="285" t="s">
        <v>3</v>
      </c>
      <c r="D830" s="265"/>
      <c r="E830" s="265"/>
      <c r="F830" s="265"/>
      <c r="G830" s="265"/>
      <c r="H830" s="276"/>
    </row>
    <row r="831" spans="2:8" ht="32.25" customHeight="1">
      <c r="B831" s="1" t="s">
        <v>4</v>
      </c>
      <c r="C831" s="271" t="s">
        <v>5</v>
      </c>
      <c r="D831" s="253"/>
      <c r="E831" s="253"/>
      <c r="F831" s="253"/>
      <c r="G831" s="253"/>
      <c r="H831" s="254"/>
    </row>
    <row r="832" spans="2:8" ht="32.4" customHeight="1">
      <c r="B832" s="1" t="s">
        <v>6</v>
      </c>
      <c r="C832" s="278" t="s">
        <v>7</v>
      </c>
      <c r="D832" s="254"/>
      <c r="E832" s="11" t="s">
        <v>8</v>
      </c>
      <c r="F832" s="271" t="s">
        <v>9</v>
      </c>
      <c r="G832" s="253"/>
      <c r="H832" s="254"/>
    </row>
    <row r="833" spans="2:8" ht="88.95" customHeight="1">
      <c r="B833" s="1" t="s">
        <v>10</v>
      </c>
      <c r="C833" s="270" t="str">
        <f>'INVENTARIO CAJA 1'!E61</f>
        <v/>
      </c>
      <c r="D833" s="253"/>
      <c r="E833" s="253"/>
      <c r="F833" s="253"/>
      <c r="G833" s="253"/>
      <c r="H833" s="254"/>
    </row>
    <row r="834" spans="2:8" ht="28.2" customHeight="1">
      <c r="B834" s="1" t="s">
        <v>12</v>
      </c>
      <c r="C834" s="272" t="s">
        <v>130</v>
      </c>
      <c r="D834" s="253"/>
      <c r="E834" s="253"/>
      <c r="F834" s="253"/>
      <c r="G834" s="253"/>
      <c r="H834" s="254"/>
    </row>
    <row r="835" spans="2:8" ht="25.2" customHeight="1">
      <c r="B835" s="1" t="s">
        <v>14</v>
      </c>
      <c r="C835" s="284" t="str">
        <f>'INVENTARIO CAJA 1'!F61</f>
        <v/>
      </c>
      <c r="D835" s="254"/>
      <c r="E835" s="3" t="s">
        <v>15</v>
      </c>
      <c r="F835" s="284" t="str">
        <f>'INVENTARIO CAJA 1'!G61</f>
        <v/>
      </c>
      <c r="G835" s="253"/>
      <c r="H835" s="254"/>
    </row>
    <row r="836" spans="2:8" ht="22.5" customHeight="1">
      <c r="B836" s="279" t="s">
        <v>16</v>
      </c>
      <c r="C836" s="272" t="s">
        <v>17</v>
      </c>
      <c r="D836" s="262"/>
      <c r="E836" s="272" t="s">
        <v>18</v>
      </c>
      <c r="F836" s="262"/>
      <c r="G836" s="3" t="s">
        <v>19</v>
      </c>
      <c r="H836" s="3"/>
    </row>
    <row r="837" spans="2:8" ht="17.25" customHeight="1">
      <c r="B837" s="280"/>
      <c r="C837" s="273"/>
      <c r="D837" s="274"/>
      <c r="E837" s="273"/>
      <c r="F837" s="274"/>
      <c r="G837" s="3" t="s">
        <v>20</v>
      </c>
      <c r="H837" s="3" t="s">
        <v>21</v>
      </c>
    </row>
    <row r="838" spans="2:8" ht="17.25" customHeight="1">
      <c r="B838" s="281"/>
      <c r="C838" s="275"/>
      <c r="D838" s="276"/>
      <c r="E838" s="275"/>
      <c r="F838" s="276"/>
      <c r="G838" s="3" t="s">
        <v>22</v>
      </c>
      <c r="H838" s="3"/>
    </row>
    <row r="839" spans="2:8" ht="25.8" customHeight="1">
      <c r="B839" s="279" t="s">
        <v>23</v>
      </c>
      <c r="C839" s="283" t="s">
        <v>24</v>
      </c>
      <c r="D839" s="272" t="s">
        <v>25</v>
      </c>
      <c r="E839" s="3" t="s">
        <v>26</v>
      </c>
      <c r="F839" s="3"/>
      <c r="G839" s="3" t="s">
        <v>27</v>
      </c>
      <c r="H839" s="12">
        <f>'INVENTARIO CAJA 1'!H61</f>
        <v>0</v>
      </c>
    </row>
    <row r="840" spans="2:8" ht="27.6" customHeight="1">
      <c r="B840" s="281"/>
      <c r="C840" s="275"/>
      <c r="D840" s="281"/>
      <c r="E840" s="3" t="s">
        <v>28</v>
      </c>
      <c r="F840" s="3" t="s">
        <v>29</v>
      </c>
      <c r="G840" s="3" t="s">
        <v>30</v>
      </c>
      <c r="H840" s="12" t="str">
        <f>IF('INVENTARIO CAJA 1'!D61&lt;&gt;"",'INVENTARIO CAJA 1'!D61,"1/1")</f>
        <v>1/1</v>
      </c>
    </row>
    <row r="843" spans="2:8" ht="61.2" customHeight="1">
      <c r="B843" s="7"/>
      <c r="C843" s="282" t="s">
        <v>35</v>
      </c>
      <c r="D843" s="269"/>
      <c r="E843" s="269"/>
      <c r="F843" s="269"/>
      <c r="G843" s="269"/>
      <c r="H843" s="262"/>
    </row>
    <row r="844" spans="2:8" ht="31.8" customHeight="1">
      <c r="B844" s="8"/>
      <c r="C844" s="277" t="s">
        <v>1</v>
      </c>
      <c r="D844" s="253"/>
      <c r="E844" s="253"/>
      <c r="F844" s="253"/>
      <c r="G844" s="253"/>
      <c r="H844" s="254"/>
    </row>
    <row r="845" spans="2:8" ht="18.75" customHeight="1">
      <c r="B845" s="9" t="s">
        <v>2</v>
      </c>
      <c r="C845" s="285" t="s">
        <v>3</v>
      </c>
      <c r="D845" s="265"/>
      <c r="E845" s="265"/>
      <c r="F845" s="265"/>
      <c r="G845" s="265"/>
      <c r="H845" s="276"/>
    </row>
    <row r="846" spans="2:8" ht="32.25" customHeight="1">
      <c r="B846" s="1" t="s">
        <v>4</v>
      </c>
      <c r="C846" s="271" t="s">
        <v>5</v>
      </c>
      <c r="D846" s="253"/>
      <c r="E846" s="253"/>
      <c r="F846" s="253"/>
      <c r="G846" s="253"/>
      <c r="H846" s="254"/>
    </row>
    <row r="847" spans="2:8" ht="32.4" customHeight="1">
      <c r="B847" s="1" t="s">
        <v>6</v>
      </c>
      <c r="C847" s="278" t="s">
        <v>7</v>
      </c>
      <c r="D847" s="254"/>
      <c r="E847" s="11" t="s">
        <v>8</v>
      </c>
      <c r="F847" s="271" t="s">
        <v>9</v>
      </c>
      <c r="G847" s="253"/>
      <c r="H847" s="254"/>
    </row>
    <row r="848" spans="2:8" ht="88.95" customHeight="1">
      <c r="B848" s="1" t="s">
        <v>10</v>
      </c>
      <c r="C848" s="270" t="str">
        <f>'INVENTARIO CAJA 1'!E62</f>
        <v/>
      </c>
      <c r="D848" s="253"/>
      <c r="E848" s="253"/>
      <c r="F848" s="253"/>
      <c r="G848" s="253"/>
      <c r="H848" s="254"/>
    </row>
    <row r="849" spans="2:8" ht="28.2" customHeight="1">
      <c r="B849" s="1" t="s">
        <v>12</v>
      </c>
      <c r="C849" s="272" t="s">
        <v>131</v>
      </c>
      <c r="D849" s="253"/>
      <c r="E849" s="253"/>
      <c r="F849" s="253"/>
      <c r="G849" s="253"/>
      <c r="H849" s="254"/>
    </row>
    <row r="850" spans="2:8" ht="25.2" customHeight="1">
      <c r="B850" s="1" t="s">
        <v>14</v>
      </c>
      <c r="C850" s="284" t="str">
        <f>'INVENTARIO CAJA 1'!F62</f>
        <v/>
      </c>
      <c r="D850" s="254"/>
      <c r="E850" s="3" t="s">
        <v>15</v>
      </c>
      <c r="F850" s="284" t="str">
        <f>'INVENTARIO CAJA 1'!G62</f>
        <v/>
      </c>
      <c r="G850" s="253"/>
      <c r="H850" s="254"/>
    </row>
    <row r="851" spans="2:8" ht="22.5" customHeight="1">
      <c r="B851" s="279" t="s">
        <v>16</v>
      </c>
      <c r="C851" s="272" t="s">
        <v>17</v>
      </c>
      <c r="D851" s="262"/>
      <c r="E851" s="272" t="s">
        <v>18</v>
      </c>
      <c r="F851" s="262"/>
      <c r="G851" s="3" t="s">
        <v>19</v>
      </c>
      <c r="H851" s="3"/>
    </row>
    <row r="852" spans="2:8" ht="17.25" customHeight="1">
      <c r="B852" s="280"/>
      <c r="C852" s="273"/>
      <c r="D852" s="274"/>
      <c r="E852" s="273"/>
      <c r="F852" s="274"/>
      <c r="G852" s="3" t="s">
        <v>20</v>
      </c>
      <c r="H852" s="3" t="s">
        <v>21</v>
      </c>
    </row>
    <row r="853" spans="2:8" ht="17.25" customHeight="1">
      <c r="B853" s="281"/>
      <c r="C853" s="275"/>
      <c r="D853" s="276"/>
      <c r="E853" s="275"/>
      <c r="F853" s="276"/>
      <c r="G853" s="3" t="s">
        <v>22</v>
      </c>
      <c r="H853" s="3"/>
    </row>
    <row r="854" spans="2:8" ht="25.8" customHeight="1">
      <c r="B854" s="279" t="s">
        <v>23</v>
      </c>
      <c r="C854" s="283" t="s">
        <v>24</v>
      </c>
      <c r="D854" s="272" t="s">
        <v>25</v>
      </c>
      <c r="E854" s="3" t="s">
        <v>26</v>
      </c>
      <c r="F854" s="3"/>
      <c r="G854" s="3" t="s">
        <v>27</v>
      </c>
      <c r="H854" s="12">
        <f>'INVENTARIO CAJA 1'!H62</f>
        <v>0</v>
      </c>
    </row>
    <row r="855" spans="2:8" ht="27.6" customHeight="1">
      <c r="B855" s="281"/>
      <c r="C855" s="275"/>
      <c r="D855" s="281"/>
      <c r="E855" s="3" t="s">
        <v>28</v>
      </c>
      <c r="F855" s="3" t="s">
        <v>29</v>
      </c>
      <c r="G855" s="3" t="s">
        <v>30</v>
      </c>
      <c r="H855" s="12" t="str">
        <f>IF('INVENTARIO CAJA 1'!D62&lt;&gt;"",'INVENTARIO CAJA 1'!D62,"1/1")</f>
        <v>1/1</v>
      </c>
    </row>
    <row r="858" spans="2:8" ht="61.2" customHeight="1">
      <c r="B858" s="7"/>
      <c r="C858" s="282" t="s">
        <v>35</v>
      </c>
      <c r="D858" s="269"/>
      <c r="E858" s="269"/>
      <c r="F858" s="269"/>
      <c r="G858" s="269"/>
      <c r="H858" s="262"/>
    </row>
    <row r="859" spans="2:8" ht="31.8" customHeight="1">
      <c r="B859" s="8"/>
      <c r="C859" s="277" t="s">
        <v>1</v>
      </c>
      <c r="D859" s="253"/>
      <c r="E859" s="253"/>
      <c r="F859" s="253"/>
      <c r="G859" s="253"/>
      <c r="H859" s="254"/>
    </row>
    <row r="860" spans="2:8" ht="18.75" customHeight="1">
      <c r="B860" s="9" t="s">
        <v>2</v>
      </c>
      <c r="C860" s="285" t="s">
        <v>3</v>
      </c>
      <c r="D860" s="265"/>
      <c r="E860" s="265"/>
      <c r="F860" s="265"/>
      <c r="G860" s="265"/>
      <c r="H860" s="276"/>
    </row>
    <row r="861" spans="2:8" ht="32.25" customHeight="1">
      <c r="B861" s="1" t="s">
        <v>4</v>
      </c>
      <c r="C861" s="271" t="s">
        <v>5</v>
      </c>
      <c r="D861" s="253"/>
      <c r="E861" s="253"/>
      <c r="F861" s="253"/>
      <c r="G861" s="253"/>
      <c r="H861" s="254"/>
    </row>
    <row r="862" spans="2:8" ht="32.4" customHeight="1">
      <c r="B862" s="1" t="s">
        <v>6</v>
      </c>
      <c r="C862" s="278" t="s">
        <v>7</v>
      </c>
      <c r="D862" s="254"/>
      <c r="E862" s="11" t="s">
        <v>8</v>
      </c>
      <c r="F862" s="271" t="s">
        <v>9</v>
      </c>
      <c r="G862" s="253"/>
      <c r="H862" s="254"/>
    </row>
    <row r="863" spans="2:8" ht="88.95" customHeight="1">
      <c r="B863" s="1" t="s">
        <v>10</v>
      </c>
      <c r="C863" s="270" t="str">
        <f>'INVENTARIO CAJA 1'!E63</f>
        <v/>
      </c>
      <c r="D863" s="253"/>
      <c r="E863" s="253"/>
      <c r="F863" s="253"/>
      <c r="G863" s="253"/>
      <c r="H863" s="254"/>
    </row>
    <row r="864" spans="2:8" ht="28.2" customHeight="1">
      <c r="B864" s="1" t="s">
        <v>12</v>
      </c>
      <c r="C864" s="272" t="s">
        <v>132</v>
      </c>
      <c r="D864" s="253"/>
      <c r="E864" s="253"/>
      <c r="F864" s="253"/>
      <c r="G864" s="253"/>
      <c r="H864" s="254"/>
    </row>
    <row r="865" spans="2:8" ht="25.2" customHeight="1">
      <c r="B865" s="1" t="s">
        <v>14</v>
      </c>
      <c r="C865" s="284" t="str">
        <f>'INVENTARIO CAJA 1'!F63</f>
        <v/>
      </c>
      <c r="D865" s="254"/>
      <c r="E865" s="3" t="s">
        <v>15</v>
      </c>
      <c r="F865" s="284" t="str">
        <f>'INVENTARIO CAJA 1'!G63</f>
        <v/>
      </c>
      <c r="G865" s="253"/>
      <c r="H865" s="254"/>
    </row>
    <row r="866" spans="2:8" ht="22.5" customHeight="1">
      <c r="B866" s="279" t="s">
        <v>16</v>
      </c>
      <c r="C866" s="272" t="s">
        <v>17</v>
      </c>
      <c r="D866" s="262"/>
      <c r="E866" s="272" t="s">
        <v>18</v>
      </c>
      <c r="F866" s="262"/>
      <c r="G866" s="3" t="s">
        <v>19</v>
      </c>
      <c r="H866" s="3"/>
    </row>
    <row r="867" spans="2:8" ht="17.25" customHeight="1">
      <c r="B867" s="280"/>
      <c r="C867" s="273"/>
      <c r="D867" s="274"/>
      <c r="E867" s="273"/>
      <c r="F867" s="274"/>
      <c r="G867" s="3" t="s">
        <v>20</v>
      </c>
      <c r="H867" s="3" t="s">
        <v>21</v>
      </c>
    </row>
    <row r="868" spans="2:8" ht="17.25" customHeight="1">
      <c r="B868" s="281"/>
      <c r="C868" s="275"/>
      <c r="D868" s="276"/>
      <c r="E868" s="275"/>
      <c r="F868" s="276"/>
      <c r="G868" s="3" t="s">
        <v>22</v>
      </c>
      <c r="H868" s="3"/>
    </row>
    <row r="869" spans="2:8" ht="25.8" customHeight="1">
      <c r="B869" s="279" t="s">
        <v>23</v>
      </c>
      <c r="C869" s="283" t="s">
        <v>24</v>
      </c>
      <c r="D869" s="272" t="s">
        <v>25</v>
      </c>
      <c r="E869" s="3" t="s">
        <v>26</v>
      </c>
      <c r="F869" s="3"/>
      <c r="G869" s="3" t="s">
        <v>27</v>
      </c>
      <c r="H869" s="12">
        <f>'INVENTARIO CAJA 1'!H63</f>
        <v>0</v>
      </c>
    </row>
    <row r="870" spans="2:8" ht="27.6" customHeight="1">
      <c r="B870" s="281"/>
      <c r="C870" s="275"/>
      <c r="D870" s="281"/>
      <c r="E870" s="3" t="s">
        <v>28</v>
      </c>
      <c r="F870" s="3" t="s">
        <v>29</v>
      </c>
      <c r="G870" s="3" t="s">
        <v>30</v>
      </c>
      <c r="H870" s="12" t="str">
        <f>IF('INVENTARIO CAJA 1'!D63&lt;&gt;"",'INVENTARIO CAJA 1'!D63,"1/1")</f>
        <v>1/1</v>
      </c>
    </row>
    <row r="873" spans="2:8" ht="61.2" customHeight="1">
      <c r="B873" s="7"/>
      <c r="C873" s="282" t="s">
        <v>35</v>
      </c>
      <c r="D873" s="269"/>
      <c r="E873" s="269"/>
      <c r="F873" s="269"/>
      <c r="G873" s="269"/>
      <c r="H873" s="262"/>
    </row>
    <row r="874" spans="2:8" ht="31.8" customHeight="1">
      <c r="B874" s="8"/>
      <c r="C874" s="277" t="s">
        <v>1</v>
      </c>
      <c r="D874" s="253"/>
      <c r="E874" s="253"/>
      <c r="F874" s="253"/>
      <c r="G874" s="253"/>
      <c r="H874" s="254"/>
    </row>
    <row r="875" spans="2:8" ht="18.75" customHeight="1">
      <c r="B875" s="9" t="s">
        <v>2</v>
      </c>
      <c r="C875" s="285" t="s">
        <v>3</v>
      </c>
      <c r="D875" s="265"/>
      <c r="E875" s="265"/>
      <c r="F875" s="265"/>
      <c r="G875" s="265"/>
      <c r="H875" s="276"/>
    </row>
    <row r="876" spans="2:8" ht="32.25" customHeight="1">
      <c r="B876" s="1" t="s">
        <v>4</v>
      </c>
      <c r="C876" s="271" t="s">
        <v>5</v>
      </c>
      <c r="D876" s="253"/>
      <c r="E876" s="253"/>
      <c r="F876" s="253"/>
      <c r="G876" s="253"/>
      <c r="H876" s="254"/>
    </row>
    <row r="877" spans="2:8" ht="32.4" customHeight="1">
      <c r="B877" s="1" t="s">
        <v>6</v>
      </c>
      <c r="C877" s="278" t="s">
        <v>7</v>
      </c>
      <c r="D877" s="254"/>
      <c r="E877" s="11" t="s">
        <v>8</v>
      </c>
      <c r="F877" s="271" t="s">
        <v>9</v>
      </c>
      <c r="G877" s="253"/>
      <c r="H877" s="254"/>
    </row>
    <row r="878" spans="2:8" ht="88.95" customHeight="1">
      <c r="B878" s="1" t="s">
        <v>10</v>
      </c>
      <c r="C878" s="270" t="str">
        <f>'INVENTARIO CAJA 1'!E64</f>
        <v/>
      </c>
      <c r="D878" s="253"/>
      <c r="E878" s="253"/>
      <c r="F878" s="253"/>
      <c r="G878" s="253"/>
      <c r="H878" s="254"/>
    </row>
    <row r="879" spans="2:8" ht="28.2" customHeight="1">
      <c r="B879" s="1" t="s">
        <v>12</v>
      </c>
      <c r="C879" s="272" t="s">
        <v>133</v>
      </c>
      <c r="D879" s="253"/>
      <c r="E879" s="253"/>
      <c r="F879" s="253"/>
      <c r="G879" s="253"/>
      <c r="H879" s="254"/>
    </row>
    <row r="880" spans="2:8" ht="25.2" customHeight="1">
      <c r="B880" s="1" t="s">
        <v>14</v>
      </c>
      <c r="C880" s="284" t="str">
        <f>'INVENTARIO CAJA 1'!F64</f>
        <v/>
      </c>
      <c r="D880" s="254"/>
      <c r="E880" s="3" t="s">
        <v>15</v>
      </c>
      <c r="F880" s="284" t="str">
        <f>'INVENTARIO CAJA 1'!G64</f>
        <v/>
      </c>
      <c r="G880" s="253"/>
      <c r="H880" s="254"/>
    </row>
    <row r="881" spans="2:8" ht="22.5" customHeight="1">
      <c r="B881" s="279" t="s">
        <v>16</v>
      </c>
      <c r="C881" s="272" t="s">
        <v>17</v>
      </c>
      <c r="D881" s="262"/>
      <c r="E881" s="272" t="s">
        <v>18</v>
      </c>
      <c r="F881" s="262"/>
      <c r="G881" s="3" t="s">
        <v>19</v>
      </c>
      <c r="H881" s="3"/>
    </row>
    <row r="882" spans="2:8" ht="17.25" customHeight="1">
      <c r="B882" s="280"/>
      <c r="C882" s="273"/>
      <c r="D882" s="274"/>
      <c r="E882" s="273"/>
      <c r="F882" s="274"/>
      <c r="G882" s="3" t="s">
        <v>20</v>
      </c>
      <c r="H882" s="3" t="s">
        <v>21</v>
      </c>
    </row>
    <row r="883" spans="2:8" ht="17.25" customHeight="1">
      <c r="B883" s="281"/>
      <c r="C883" s="275"/>
      <c r="D883" s="276"/>
      <c r="E883" s="275"/>
      <c r="F883" s="276"/>
      <c r="G883" s="3" t="s">
        <v>22</v>
      </c>
      <c r="H883" s="3"/>
    </row>
    <row r="884" spans="2:8" ht="25.8" customHeight="1">
      <c r="B884" s="279" t="s">
        <v>23</v>
      </c>
      <c r="C884" s="283" t="s">
        <v>24</v>
      </c>
      <c r="D884" s="272" t="s">
        <v>25</v>
      </c>
      <c r="E884" s="3" t="s">
        <v>26</v>
      </c>
      <c r="F884" s="3"/>
      <c r="G884" s="3" t="s">
        <v>27</v>
      </c>
      <c r="H884" s="12">
        <f>'INVENTARIO CAJA 1'!H64</f>
        <v>0</v>
      </c>
    </row>
    <row r="885" spans="2:8" ht="27.6" customHeight="1">
      <c r="B885" s="281"/>
      <c r="C885" s="275"/>
      <c r="D885" s="281"/>
      <c r="E885" s="3" t="s">
        <v>28</v>
      </c>
      <c r="F885" s="3" t="s">
        <v>29</v>
      </c>
      <c r="G885" s="3" t="s">
        <v>30</v>
      </c>
      <c r="H885" s="12" t="str">
        <f>IF('INVENTARIO CAJA 1'!D64&lt;&gt;"",'INVENTARIO CAJA 1'!D64,"1/1")</f>
        <v>1/1</v>
      </c>
    </row>
    <row r="888" spans="2:8" ht="61.2" customHeight="1">
      <c r="B888" s="7"/>
      <c r="C888" s="282" t="s">
        <v>35</v>
      </c>
      <c r="D888" s="269"/>
      <c r="E888" s="269"/>
      <c r="F888" s="269"/>
      <c r="G888" s="269"/>
      <c r="H888" s="262"/>
    </row>
    <row r="889" spans="2:8" ht="31.8" customHeight="1">
      <c r="B889" s="8"/>
      <c r="C889" s="277" t="s">
        <v>1</v>
      </c>
      <c r="D889" s="253"/>
      <c r="E889" s="253"/>
      <c r="F889" s="253"/>
      <c r="G889" s="253"/>
      <c r="H889" s="254"/>
    </row>
    <row r="890" spans="2:8" ht="18.75" customHeight="1">
      <c r="B890" s="9" t="s">
        <v>2</v>
      </c>
      <c r="C890" s="285" t="s">
        <v>3</v>
      </c>
      <c r="D890" s="265"/>
      <c r="E890" s="265"/>
      <c r="F890" s="265"/>
      <c r="G890" s="265"/>
      <c r="H890" s="276"/>
    </row>
    <row r="891" spans="2:8" ht="32.25" customHeight="1">
      <c r="B891" s="1" t="s">
        <v>4</v>
      </c>
      <c r="C891" s="271" t="s">
        <v>5</v>
      </c>
      <c r="D891" s="253"/>
      <c r="E891" s="253"/>
      <c r="F891" s="253"/>
      <c r="G891" s="253"/>
      <c r="H891" s="254"/>
    </row>
    <row r="892" spans="2:8" ht="32.4" customHeight="1">
      <c r="B892" s="1" t="s">
        <v>6</v>
      </c>
      <c r="C892" s="278" t="s">
        <v>7</v>
      </c>
      <c r="D892" s="254"/>
      <c r="E892" s="11" t="s">
        <v>8</v>
      </c>
      <c r="F892" s="271" t="s">
        <v>9</v>
      </c>
      <c r="G892" s="253"/>
      <c r="H892" s="254"/>
    </row>
    <row r="893" spans="2:8" ht="88.95" customHeight="1">
      <c r="B893" s="1" t="s">
        <v>10</v>
      </c>
      <c r="C893" s="270" t="str">
        <f>'INVENTARIO CAJA 1'!E65</f>
        <v/>
      </c>
      <c r="D893" s="253"/>
      <c r="E893" s="253"/>
      <c r="F893" s="253"/>
      <c r="G893" s="253"/>
      <c r="H893" s="254"/>
    </row>
    <row r="894" spans="2:8" ht="28.2" customHeight="1">
      <c r="B894" s="1" t="s">
        <v>12</v>
      </c>
      <c r="C894" s="272" t="s">
        <v>134</v>
      </c>
      <c r="D894" s="253"/>
      <c r="E894" s="253"/>
      <c r="F894" s="253"/>
      <c r="G894" s="253"/>
      <c r="H894" s="254"/>
    </row>
    <row r="895" spans="2:8" ht="25.2" customHeight="1">
      <c r="B895" s="1" t="s">
        <v>14</v>
      </c>
      <c r="C895" s="284" t="str">
        <f>'INVENTARIO CAJA 1'!F65</f>
        <v/>
      </c>
      <c r="D895" s="254"/>
      <c r="E895" s="3" t="s">
        <v>15</v>
      </c>
      <c r="F895" s="284" t="str">
        <f>'INVENTARIO CAJA 1'!G65</f>
        <v/>
      </c>
      <c r="G895" s="253"/>
      <c r="H895" s="254"/>
    </row>
    <row r="896" spans="2:8" ht="22.5" customHeight="1">
      <c r="B896" s="279" t="s">
        <v>16</v>
      </c>
      <c r="C896" s="272" t="s">
        <v>17</v>
      </c>
      <c r="D896" s="262"/>
      <c r="E896" s="272" t="s">
        <v>18</v>
      </c>
      <c r="F896" s="262"/>
      <c r="G896" s="3" t="s">
        <v>19</v>
      </c>
      <c r="H896" s="3"/>
    </row>
    <row r="897" spans="2:8" ht="17.25" customHeight="1">
      <c r="B897" s="280"/>
      <c r="C897" s="273"/>
      <c r="D897" s="274"/>
      <c r="E897" s="273"/>
      <c r="F897" s="274"/>
      <c r="G897" s="3" t="s">
        <v>20</v>
      </c>
      <c r="H897" s="3" t="s">
        <v>21</v>
      </c>
    </row>
    <row r="898" spans="2:8" ht="17.25" customHeight="1">
      <c r="B898" s="281"/>
      <c r="C898" s="275"/>
      <c r="D898" s="276"/>
      <c r="E898" s="275"/>
      <c r="F898" s="276"/>
      <c r="G898" s="3" t="s">
        <v>22</v>
      </c>
      <c r="H898" s="3"/>
    </row>
    <row r="899" spans="2:8" ht="25.8" customHeight="1">
      <c r="B899" s="279" t="s">
        <v>23</v>
      </c>
      <c r="C899" s="283" t="s">
        <v>24</v>
      </c>
      <c r="D899" s="272" t="s">
        <v>25</v>
      </c>
      <c r="E899" s="3" t="s">
        <v>26</v>
      </c>
      <c r="F899" s="3"/>
      <c r="G899" s="3" t="s">
        <v>27</v>
      </c>
      <c r="H899" s="12">
        <f>'INVENTARIO CAJA 1'!H65</f>
        <v>0</v>
      </c>
    </row>
    <row r="900" spans="2:8" ht="27.6" customHeight="1">
      <c r="B900" s="281"/>
      <c r="C900" s="275"/>
      <c r="D900" s="281"/>
      <c r="E900" s="3" t="s">
        <v>28</v>
      </c>
      <c r="F900" s="3" t="s">
        <v>29</v>
      </c>
      <c r="G900" s="3" t="s">
        <v>30</v>
      </c>
      <c r="H900" s="12" t="str">
        <f>IF('INVENTARIO CAJA 1'!D65&lt;&gt;"",'INVENTARIO CAJA 1'!D65,"1/1")</f>
        <v>1/1</v>
      </c>
    </row>
    <row r="903" spans="2:8" ht="61.2" customHeight="1">
      <c r="B903" s="7"/>
      <c r="C903" s="282" t="s">
        <v>35</v>
      </c>
      <c r="D903" s="269"/>
      <c r="E903" s="269"/>
      <c r="F903" s="269"/>
      <c r="G903" s="269"/>
      <c r="H903" s="262"/>
    </row>
    <row r="904" spans="2:8" ht="31.8" customHeight="1">
      <c r="B904" s="8"/>
      <c r="C904" s="277" t="s">
        <v>1</v>
      </c>
      <c r="D904" s="253"/>
      <c r="E904" s="253"/>
      <c r="F904" s="253"/>
      <c r="G904" s="253"/>
      <c r="H904" s="254"/>
    </row>
    <row r="905" spans="2:8" ht="18.75" customHeight="1">
      <c r="B905" s="9" t="s">
        <v>2</v>
      </c>
      <c r="C905" s="285" t="s">
        <v>3</v>
      </c>
      <c r="D905" s="265"/>
      <c r="E905" s="265"/>
      <c r="F905" s="265"/>
      <c r="G905" s="265"/>
      <c r="H905" s="276"/>
    </row>
    <row r="906" spans="2:8" ht="32.25" customHeight="1">
      <c r="B906" s="1" t="s">
        <v>4</v>
      </c>
      <c r="C906" s="271" t="s">
        <v>5</v>
      </c>
      <c r="D906" s="253"/>
      <c r="E906" s="253"/>
      <c r="F906" s="253"/>
      <c r="G906" s="253"/>
      <c r="H906" s="254"/>
    </row>
    <row r="907" spans="2:8" ht="32.4" customHeight="1">
      <c r="B907" s="1" t="s">
        <v>6</v>
      </c>
      <c r="C907" s="278" t="s">
        <v>7</v>
      </c>
      <c r="D907" s="254"/>
      <c r="E907" s="11" t="s">
        <v>8</v>
      </c>
      <c r="F907" s="271" t="s">
        <v>9</v>
      </c>
      <c r="G907" s="253"/>
      <c r="H907" s="254"/>
    </row>
    <row r="908" spans="2:8" ht="88.95" customHeight="1">
      <c r="B908" s="1" t="s">
        <v>10</v>
      </c>
      <c r="C908" s="270" t="str">
        <f>'INVENTARIO CAJA 1'!E66</f>
        <v/>
      </c>
      <c r="D908" s="253"/>
      <c r="E908" s="253"/>
      <c r="F908" s="253"/>
      <c r="G908" s="253"/>
      <c r="H908" s="254"/>
    </row>
    <row r="909" spans="2:8" ht="28.2" customHeight="1">
      <c r="B909" s="1" t="s">
        <v>12</v>
      </c>
      <c r="C909" s="272" t="s">
        <v>135</v>
      </c>
      <c r="D909" s="253"/>
      <c r="E909" s="253"/>
      <c r="F909" s="253"/>
      <c r="G909" s="253"/>
      <c r="H909" s="254"/>
    </row>
    <row r="910" spans="2:8" ht="25.2" customHeight="1">
      <c r="B910" s="1" t="s">
        <v>14</v>
      </c>
      <c r="C910" s="284" t="str">
        <f>'INVENTARIO CAJA 1'!F66</f>
        <v/>
      </c>
      <c r="D910" s="254"/>
      <c r="E910" s="3" t="s">
        <v>15</v>
      </c>
      <c r="F910" s="284" t="str">
        <f>'INVENTARIO CAJA 1'!G66</f>
        <v/>
      </c>
      <c r="G910" s="253"/>
      <c r="H910" s="254"/>
    </row>
    <row r="911" spans="2:8" ht="22.5" customHeight="1">
      <c r="B911" s="279" t="s">
        <v>16</v>
      </c>
      <c r="C911" s="272" t="s">
        <v>17</v>
      </c>
      <c r="D911" s="262"/>
      <c r="E911" s="272" t="s">
        <v>18</v>
      </c>
      <c r="F911" s="262"/>
      <c r="G911" s="3" t="s">
        <v>19</v>
      </c>
      <c r="H911" s="3"/>
    </row>
    <row r="912" spans="2:8" ht="17.25" customHeight="1">
      <c r="B912" s="280"/>
      <c r="C912" s="273"/>
      <c r="D912" s="274"/>
      <c r="E912" s="273"/>
      <c r="F912" s="274"/>
      <c r="G912" s="3" t="s">
        <v>20</v>
      </c>
      <c r="H912" s="3" t="s">
        <v>21</v>
      </c>
    </row>
    <row r="913" spans="2:8" ht="17.25" customHeight="1">
      <c r="B913" s="281"/>
      <c r="C913" s="275"/>
      <c r="D913" s="276"/>
      <c r="E913" s="275"/>
      <c r="F913" s="276"/>
      <c r="G913" s="3" t="s">
        <v>22</v>
      </c>
      <c r="H913" s="3"/>
    </row>
    <row r="914" spans="2:8" ht="25.8" customHeight="1">
      <c r="B914" s="279" t="s">
        <v>23</v>
      </c>
      <c r="C914" s="283" t="s">
        <v>24</v>
      </c>
      <c r="D914" s="272" t="s">
        <v>25</v>
      </c>
      <c r="E914" s="3" t="s">
        <v>26</v>
      </c>
      <c r="F914" s="3"/>
      <c r="G914" s="3" t="s">
        <v>27</v>
      </c>
      <c r="H914" s="12">
        <f>'INVENTARIO CAJA 1'!H66</f>
        <v>0</v>
      </c>
    </row>
    <row r="915" spans="2:8" ht="27.6" customHeight="1">
      <c r="B915" s="281"/>
      <c r="C915" s="275"/>
      <c r="D915" s="281"/>
      <c r="E915" s="3" t="s">
        <v>28</v>
      </c>
      <c r="F915" s="3" t="s">
        <v>29</v>
      </c>
      <c r="G915" s="3" t="s">
        <v>30</v>
      </c>
      <c r="H915" s="12" t="str">
        <f>IF('INVENTARIO CAJA 1'!D66&lt;&gt;"",'INVENTARIO CAJA 1'!D66,"1/1")</f>
        <v>1/1</v>
      </c>
    </row>
    <row r="918" spans="2:8" ht="61.2" customHeight="1">
      <c r="B918" s="7"/>
      <c r="C918" s="282" t="s">
        <v>35</v>
      </c>
      <c r="D918" s="269"/>
      <c r="E918" s="269"/>
      <c r="F918" s="269"/>
      <c r="G918" s="269"/>
      <c r="H918" s="262"/>
    </row>
    <row r="919" spans="2:8" ht="31.8" customHeight="1">
      <c r="B919" s="8"/>
      <c r="C919" s="277" t="s">
        <v>1</v>
      </c>
      <c r="D919" s="253"/>
      <c r="E919" s="253"/>
      <c r="F919" s="253"/>
      <c r="G919" s="253"/>
      <c r="H919" s="254"/>
    </row>
    <row r="920" spans="2:8" ht="18.75" customHeight="1">
      <c r="B920" s="9" t="s">
        <v>2</v>
      </c>
      <c r="C920" s="285" t="s">
        <v>3</v>
      </c>
      <c r="D920" s="265"/>
      <c r="E920" s="265"/>
      <c r="F920" s="265"/>
      <c r="G920" s="265"/>
      <c r="H920" s="276"/>
    </row>
    <row r="921" spans="2:8" ht="32.25" customHeight="1">
      <c r="B921" s="1" t="s">
        <v>4</v>
      </c>
      <c r="C921" s="271" t="s">
        <v>5</v>
      </c>
      <c r="D921" s="253"/>
      <c r="E921" s="253"/>
      <c r="F921" s="253"/>
      <c r="G921" s="253"/>
      <c r="H921" s="254"/>
    </row>
    <row r="922" spans="2:8" ht="32.4" customHeight="1">
      <c r="B922" s="1" t="s">
        <v>6</v>
      </c>
      <c r="C922" s="278" t="s">
        <v>7</v>
      </c>
      <c r="D922" s="254"/>
      <c r="E922" s="11" t="s">
        <v>8</v>
      </c>
      <c r="F922" s="271" t="s">
        <v>9</v>
      </c>
      <c r="G922" s="253"/>
      <c r="H922" s="254"/>
    </row>
    <row r="923" spans="2:8" ht="88.95" customHeight="1">
      <c r="B923" s="1" t="s">
        <v>10</v>
      </c>
      <c r="C923" s="270" t="str">
        <f>'INVENTARIO CAJA 1'!E67</f>
        <v/>
      </c>
      <c r="D923" s="253"/>
      <c r="E923" s="253"/>
      <c r="F923" s="253"/>
      <c r="G923" s="253"/>
      <c r="H923" s="254"/>
    </row>
    <row r="924" spans="2:8" ht="28.2" customHeight="1">
      <c r="B924" s="1" t="s">
        <v>12</v>
      </c>
      <c r="C924" s="272" t="s">
        <v>136</v>
      </c>
      <c r="D924" s="253"/>
      <c r="E924" s="253"/>
      <c r="F924" s="253"/>
      <c r="G924" s="253"/>
      <c r="H924" s="254"/>
    </row>
    <row r="925" spans="2:8" ht="25.2" customHeight="1">
      <c r="B925" s="1" t="s">
        <v>14</v>
      </c>
      <c r="C925" s="284" t="str">
        <f>'INVENTARIO CAJA 1'!F67</f>
        <v/>
      </c>
      <c r="D925" s="254"/>
      <c r="E925" s="3" t="s">
        <v>15</v>
      </c>
      <c r="F925" s="284" t="str">
        <f>'INVENTARIO CAJA 1'!G67</f>
        <v/>
      </c>
      <c r="G925" s="253"/>
      <c r="H925" s="254"/>
    </row>
    <row r="926" spans="2:8" ht="22.5" customHeight="1">
      <c r="B926" s="279" t="s">
        <v>16</v>
      </c>
      <c r="C926" s="272" t="s">
        <v>17</v>
      </c>
      <c r="D926" s="262"/>
      <c r="E926" s="272" t="s">
        <v>18</v>
      </c>
      <c r="F926" s="262"/>
      <c r="G926" s="3" t="s">
        <v>19</v>
      </c>
      <c r="H926" s="3"/>
    </row>
    <row r="927" spans="2:8" ht="17.25" customHeight="1">
      <c r="B927" s="280"/>
      <c r="C927" s="273"/>
      <c r="D927" s="274"/>
      <c r="E927" s="273"/>
      <c r="F927" s="274"/>
      <c r="G927" s="3" t="s">
        <v>20</v>
      </c>
      <c r="H927" s="3" t="s">
        <v>21</v>
      </c>
    </row>
    <row r="928" spans="2:8" ht="17.25" customHeight="1">
      <c r="B928" s="281"/>
      <c r="C928" s="275"/>
      <c r="D928" s="276"/>
      <c r="E928" s="275"/>
      <c r="F928" s="276"/>
      <c r="G928" s="3" t="s">
        <v>22</v>
      </c>
      <c r="H928" s="3"/>
    </row>
    <row r="929" spans="2:8" ht="25.8" customHeight="1">
      <c r="B929" s="279" t="s">
        <v>23</v>
      </c>
      <c r="C929" s="283" t="s">
        <v>24</v>
      </c>
      <c r="D929" s="272" t="s">
        <v>25</v>
      </c>
      <c r="E929" s="3" t="s">
        <v>26</v>
      </c>
      <c r="F929" s="3"/>
      <c r="G929" s="3" t="s">
        <v>27</v>
      </c>
      <c r="H929" s="12">
        <f>'INVENTARIO CAJA 1'!H67</f>
        <v>0</v>
      </c>
    </row>
    <row r="930" spans="2:8" ht="27.6" customHeight="1">
      <c r="B930" s="281"/>
      <c r="C930" s="275"/>
      <c r="D930" s="281"/>
      <c r="E930" s="3" t="s">
        <v>28</v>
      </c>
      <c r="F930" s="3" t="s">
        <v>29</v>
      </c>
      <c r="G930" s="3" t="s">
        <v>30</v>
      </c>
      <c r="H930" s="12" t="str">
        <f>IF('INVENTARIO CAJA 1'!D67&lt;&gt;"",'INVENTARIO CAJA 1'!D67,"1/1")</f>
        <v>1/1</v>
      </c>
    </row>
    <row r="933" spans="2:8" ht="61.2" customHeight="1">
      <c r="B933" s="7"/>
      <c r="C933" s="282" t="s">
        <v>35</v>
      </c>
      <c r="D933" s="269"/>
      <c r="E933" s="269"/>
      <c r="F933" s="269"/>
      <c r="G933" s="269"/>
      <c r="H933" s="262"/>
    </row>
    <row r="934" spans="2:8" ht="31.8" customHeight="1">
      <c r="B934" s="8"/>
      <c r="C934" s="277" t="s">
        <v>1</v>
      </c>
      <c r="D934" s="253"/>
      <c r="E934" s="253"/>
      <c r="F934" s="253"/>
      <c r="G934" s="253"/>
      <c r="H934" s="254"/>
    </row>
    <row r="935" spans="2:8" ht="18.75" customHeight="1">
      <c r="B935" s="9" t="s">
        <v>2</v>
      </c>
      <c r="C935" s="285" t="s">
        <v>3</v>
      </c>
      <c r="D935" s="265"/>
      <c r="E935" s="265"/>
      <c r="F935" s="265"/>
      <c r="G935" s="265"/>
      <c r="H935" s="276"/>
    </row>
    <row r="936" spans="2:8" ht="32.25" customHeight="1">
      <c r="B936" s="1" t="s">
        <v>4</v>
      </c>
      <c r="C936" s="271" t="s">
        <v>5</v>
      </c>
      <c r="D936" s="253"/>
      <c r="E936" s="253"/>
      <c r="F936" s="253"/>
      <c r="G936" s="253"/>
      <c r="H936" s="254"/>
    </row>
    <row r="937" spans="2:8" ht="32.4" customHeight="1">
      <c r="B937" s="1" t="s">
        <v>6</v>
      </c>
      <c r="C937" s="278" t="s">
        <v>7</v>
      </c>
      <c r="D937" s="254"/>
      <c r="E937" s="11" t="s">
        <v>8</v>
      </c>
      <c r="F937" s="271" t="s">
        <v>9</v>
      </c>
      <c r="G937" s="253"/>
      <c r="H937" s="254"/>
    </row>
    <row r="938" spans="2:8" ht="88.95" customHeight="1">
      <c r="B938" s="1" t="s">
        <v>10</v>
      </c>
      <c r="C938" s="270" t="str">
        <f>'INVENTARIO CAJA 1'!E68</f>
        <v/>
      </c>
      <c r="D938" s="253"/>
      <c r="E938" s="253"/>
      <c r="F938" s="253"/>
      <c r="G938" s="253"/>
      <c r="H938" s="254"/>
    </row>
    <row r="939" spans="2:8" ht="28.2" customHeight="1">
      <c r="B939" s="1" t="s">
        <v>12</v>
      </c>
      <c r="C939" s="272" t="s">
        <v>137</v>
      </c>
      <c r="D939" s="253"/>
      <c r="E939" s="253"/>
      <c r="F939" s="253"/>
      <c r="G939" s="253"/>
      <c r="H939" s="254"/>
    </row>
    <row r="940" spans="2:8" ht="25.2" customHeight="1">
      <c r="B940" s="1" t="s">
        <v>14</v>
      </c>
      <c r="C940" s="284" t="str">
        <f>'INVENTARIO CAJA 1'!F68</f>
        <v/>
      </c>
      <c r="D940" s="254"/>
      <c r="E940" s="3" t="s">
        <v>15</v>
      </c>
      <c r="F940" s="284" t="str">
        <f>'INVENTARIO CAJA 1'!G68</f>
        <v/>
      </c>
      <c r="G940" s="253"/>
      <c r="H940" s="254"/>
    </row>
    <row r="941" spans="2:8" ht="22.5" customHeight="1">
      <c r="B941" s="279" t="s">
        <v>16</v>
      </c>
      <c r="C941" s="272" t="s">
        <v>17</v>
      </c>
      <c r="D941" s="262"/>
      <c r="E941" s="272" t="s">
        <v>18</v>
      </c>
      <c r="F941" s="262"/>
      <c r="G941" s="3" t="s">
        <v>19</v>
      </c>
      <c r="H941" s="3"/>
    </row>
    <row r="942" spans="2:8" ht="17.25" customHeight="1">
      <c r="B942" s="280"/>
      <c r="C942" s="273"/>
      <c r="D942" s="274"/>
      <c r="E942" s="273"/>
      <c r="F942" s="274"/>
      <c r="G942" s="3" t="s">
        <v>20</v>
      </c>
      <c r="H942" s="3" t="s">
        <v>21</v>
      </c>
    </row>
    <row r="943" spans="2:8" ht="17.25" customHeight="1">
      <c r="B943" s="281"/>
      <c r="C943" s="275"/>
      <c r="D943" s="276"/>
      <c r="E943" s="275"/>
      <c r="F943" s="276"/>
      <c r="G943" s="3" t="s">
        <v>22</v>
      </c>
      <c r="H943" s="3"/>
    </row>
    <row r="944" spans="2:8" ht="25.8" customHeight="1">
      <c r="B944" s="279" t="s">
        <v>23</v>
      </c>
      <c r="C944" s="283" t="s">
        <v>24</v>
      </c>
      <c r="D944" s="272" t="s">
        <v>25</v>
      </c>
      <c r="E944" s="3" t="s">
        <v>26</v>
      </c>
      <c r="F944" s="3"/>
      <c r="G944" s="3" t="s">
        <v>27</v>
      </c>
      <c r="H944" s="12">
        <f>'INVENTARIO CAJA 1'!H68</f>
        <v>0</v>
      </c>
    </row>
    <row r="945" spans="2:8" ht="27.6" customHeight="1">
      <c r="B945" s="281"/>
      <c r="C945" s="275"/>
      <c r="D945" s="281"/>
      <c r="E945" s="3" t="s">
        <v>28</v>
      </c>
      <c r="F945" s="3" t="s">
        <v>29</v>
      </c>
      <c r="G945" s="3" t="s">
        <v>30</v>
      </c>
      <c r="H945" s="12" t="str">
        <f>IF('INVENTARIO CAJA 1'!D68&lt;&gt;"",'INVENTARIO CAJA 1'!D68,"1/1")</f>
        <v>1/1</v>
      </c>
    </row>
  </sheetData>
  <mergeCells count="1008">
    <mergeCell ref="C939:H939"/>
    <mergeCell ref="C768:H768"/>
    <mergeCell ref="E311:F313"/>
    <mergeCell ref="C833:H833"/>
    <mergeCell ref="C851:D853"/>
    <mergeCell ref="C243:H243"/>
    <mergeCell ref="F937:H937"/>
    <mergeCell ref="C119:C120"/>
    <mergeCell ref="C170:H170"/>
    <mergeCell ref="B671:B673"/>
    <mergeCell ref="C757:D757"/>
    <mergeCell ref="C468:H468"/>
    <mergeCell ref="B74:B75"/>
    <mergeCell ref="C528:H528"/>
    <mergeCell ref="C699:H699"/>
    <mergeCell ref="D74:D75"/>
    <mergeCell ref="F175:H175"/>
    <mergeCell ref="E611:F613"/>
    <mergeCell ref="B89:B90"/>
    <mergeCell ref="C734:C735"/>
    <mergeCell ref="D89:D90"/>
    <mergeCell ref="B374:B375"/>
    <mergeCell ref="C828:H828"/>
    <mergeCell ref="C559:H559"/>
    <mergeCell ref="D374:D375"/>
    <mergeCell ref="C844:H844"/>
    <mergeCell ref="C909:H909"/>
    <mergeCell ref="C246:H246"/>
    <mergeCell ref="C859:H859"/>
    <mergeCell ref="C846:H846"/>
    <mergeCell ref="C374:C375"/>
    <mergeCell ref="C914:C915"/>
    <mergeCell ref="C831:H831"/>
    <mergeCell ref="C25:D25"/>
    <mergeCell ref="C674:C675"/>
    <mergeCell ref="C457:D457"/>
    <mergeCell ref="C26:D28"/>
    <mergeCell ref="C228:H228"/>
    <mergeCell ref="C399:H399"/>
    <mergeCell ref="C470:H470"/>
    <mergeCell ref="C566:D568"/>
    <mergeCell ref="F922:H922"/>
    <mergeCell ref="C742:D742"/>
    <mergeCell ref="C610:D610"/>
    <mergeCell ref="F535:H535"/>
    <mergeCell ref="C455:H455"/>
    <mergeCell ref="C36:H36"/>
    <mergeCell ref="F52:H52"/>
    <mergeCell ref="C899:C900"/>
    <mergeCell ref="C503:H503"/>
    <mergeCell ref="C188:H188"/>
    <mergeCell ref="C801:H801"/>
    <mergeCell ref="C584:C585"/>
    <mergeCell ref="C424:H424"/>
    <mergeCell ref="C644:C645"/>
    <mergeCell ref="C85:D85"/>
    <mergeCell ref="C112:D112"/>
    <mergeCell ref="C138:H138"/>
    <mergeCell ref="C881:D883"/>
    <mergeCell ref="C813:H813"/>
    <mergeCell ref="C7:D7"/>
    <mergeCell ref="C131:D133"/>
    <mergeCell ref="C878:H878"/>
    <mergeCell ref="C678:H678"/>
    <mergeCell ref="C896:D898"/>
    <mergeCell ref="C294:H294"/>
    <mergeCell ref="B86:B88"/>
    <mergeCell ref="E896:F898"/>
    <mergeCell ref="C292:D292"/>
    <mergeCell ref="C215:H215"/>
    <mergeCell ref="C579:H579"/>
    <mergeCell ref="B491:B493"/>
    <mergeCell ref="C815:H815"/>
    <mergeCell ref="D119:D120"/>
    <mergeCell ref="B659:B660"/>
    <mergeCell ref="C307:D307"/>
    <mergeCell ref="C745:D745"/>
    <mergeCell ref="D659:D660"/>
    <mergeCell ref="C431:D433"/>
    <mergeCell ref="B524:B525"/>
    <mergeCell ref="C614:C615"/>
    <mergeCell ref="C89:C90"/>
    <mergeCell ref="D419:D420"/>
    <mergeCell ref="C531:H531"/>
    <mergeCell ref="F70:H70"/>
    <mergeCell ref="C590:H590"/>
    <mergeCell ref="C894:H894"/>
    <mergeCell ref="C367:D367"/>
    <mergeCell ref="C697:D697"/>
    <mergeCell ref="C266:D268"/>
    <mergeCell ref="C668:H668"/>
    <mergeCell ref="C4:H4"/>
    <mergeCell ref="B734:B735"/>
    <mergeCell ref="F745:H745"/>
    <mergeCell ref="F295:H295"/>
    <mergeCell ref="C398:H398"/>
    <mergeCell ref="C820:D820"/>
    <mergeCell ref="C696:H696"/>
    <mergeCell ref="F160:H160"/>
    <mergeCell ref="C157:D157"/>
    <mergeCell ref="F580:H580"/>
    <mergeCell ref="C683:H683"/>
    <mergeCell ref="B494:B495"/>
    <mergeCell ref="F232:H232"/>
    <mergeCell ref="C520:D520"/>
    <mergeCell ref="E251:F253"/>
    <mergeCell ref="C364:H364"/>
    <mergeCell ref="C116:D118"/>
    <mergeCell ref="D494:D495"/>
    <mergeCell ref="F97:H97"/>
    <mergeCell ref="C589:H589"/>
    <mergeCell ref="C291:H291"/>
    <mergeCell ref="C716:D718"/>
    <mergeCell ref="E716:F718"/>
    <mergeCell ref="B536:B538"/>
    <mergeCell ref="F655:H655"/>
    <mergeCell ref="C416:D418"/>
    <mergeCell ref="D704:D705"/>
    <mergeCell ref="B569:B570"/>
    <mergeCell ref="D569:D570"/>
    <mergeCell ref="C671:D673"/>
    <mergeCell ref="C818:H818"/>
    <mergeCell ref="C194:C195"/>
    <mergeCell ref="C6:H6"/>
    <mergeCell ref="C888:H888"/>
    <mergeCell ref="B434:B435"/>
    <mergeCell ref="C82:D82"/>
    <mergeCell ref="C98:H98"/>
    <mergeCell ref="C369:H369"/>
    <mergeCell ref="C396:H396"/>
    <mergeCell ref="C74:C75"/>
    <mergeCell ref="C179:C180"/>
    <mergeCell ref="C239:C240"/>
    <mergeCell ref="C355:D355"/>
    <mergeCell ref="C654:H654"/>
    <mergeCell ref="B134:B135"/>
    <mergeCell ref="C681:H681"/>
    <mergeCell ref="C779:C780"/>
    <mergeCell ref="C220:D220"/>
    <mergeCell ref="C64:H64"/>
    <mergeCell ref="C306:H306"/>
    <mergeCell ref="C619:H619"/>
    <mergeCell ref="C368:H368"/>
    <mergeCell ref="B836:B838"/>
    <mergeCell ref="C155:H155"/>
    <mergeCell ref="C293:H293"/>
    <mergeCell ref="C111:H111"/>
    <mergeCell ref="F250:H250"/>
    <mergeCell ref="C578:H578"/>
    <mergeCell ref="C876:H876"/>
    <mergeCell ref="F682:H682"/>
    <mergeCell ref="C70:D70"/>
    <mergeCell ref="C494:C495"/>
    <mergeCell ref="F7:H7"/>
    <mergeCell ref="C875:H875"/>
    <mergeCell ref="E941:F943"/>
    <mergeCell ref="C464:C465"/>
    <mergeCell ref="F145:H145"/>
    <mergeCell ref="C575:H575"/>
    <mergeCell ref="C326:D328"/>
    <mergeCell ref="C524:C525"/>
    <mergeCell ref="C873:H873"/>
    <mergeCell ref="E326:F328"/>
    <mergeCell ref="C191:D193"/>
    <mergeCell ref="C276:H276"/>
    <mergeCell ref="C667:D667"/>
    <mergeCell ref="C214:H214"/>
    <mergeCell ref="C639:H639"/>
    <mergeCell ref="C439:H439"/>
    <mergeCell ref="C764:C765"/>
    <mergeCell ref="C659:C660"/>
    <mergeCell ref="F445:H445"/>
    <mergeCell ref="F730:H730"/>
    <mergeCell ref="C278:H278"/>
    <mergeCell ref="D779:D780"/>
    <mergeCell ref="C576:H576"/>
    <mergeCell ref="F382:H382"/>
    <mergeCell ref="E911:F913"/>
    <mergeCell ref="C202:D202"/>
    <mergeCell ref="C799:H799"/>
    <mergeCell ref="F832:H832"/>
    <mergeCell ref="E761:F763"/>
    <mergeCell ref="C502:D502"/>
    <mergeCell ref="C910:D910"/>
    <mergeCell ref="E221:F223"/>
    <mergeCell ref="C488:H488"/>
    <mergeCell ref="F895:H895"/>
    <mergeCell ref="B896:B898"/>
    <mergeCell ref="C588:H588"/>
    <mergeCell ref="C236:D238"/>
    <mergeCell ref="C849:H849"/>
    <mergeCell ref="C653:H653"/>
    <mergeCell ref="E236:F238"/>
    <mergeCell ref="C125:H125"/>
    <mergeCell ref="C680:H680"/>
    <mergeCell ref="C776:D778"/>
    <mergeCell ref="C836:D838"/>
    <mergeCell ref="B929:B930"/>
    <mergeCell ref="E836:F838"/>
    <mergeCell ref="C577:D577"/>
    <mergeCell ref="C791:D793"/>
    <mergeCell ref="B596:B598"/>
    <mergeCell ref="C348:H348"/>
    <mergeCell ref="C323:H323"/>
    <mergeCell ref="C154:H154"/>
    <mergeCell ref="C863:H863"/>
    <mergeCell ref="F427:H427"/>
    <mergeCell ref="C370:D370"/>
    <mergeCell ref="F280:H280"/>
    <mergeCell ref="B194:B195"/>
    <mergeCell ref="C648:H648"/>
    <mergeCell ref="C385:D385"/>
    <mergeCell ref="C769:H769"/>
    <mergeCell ref="C670:D670"/>
    <mergeCell ref="B644:B645"/>
    <mergeCell ref="B131:B133"/>
    <mergeCell ref="E356:F358"/>
    <mergeCell ref="C603:H603"/>
    <mergeCell ref="C354:H354"/>
    <mergeCell ref="F10:H10"/>
    <mergeCell ref="F787:H787"/>
    <mergeCell ref="C862:D862"/>
    <mergeCell ref="C440:H440"/>
    <mergeCell ref="C275:H275"/>
    <mergeCell ref="C633:H633"/>
    <mergeCell ref="B284:B285"/>
    <mergeCell ref="C204:H204"/>
    <mergeCell ref="C738:H738"/>
    <mergeCell ref="C489:H489"/>
    <mergeCell ref="C725:H725"/>
    <mergeCell ref="C141:H141"/>
    <mergeCell ref="C821:D823"/>
    <mergeCell ref="E821:F823"/>
    <mergeCell ref="C217:D217"/>
    <mergeCell ref="C655:D655"/>
    <mergeCell ref="C35:H35"/>
    <mergeCell ref="C504:H504"/>
    <mergeCell ref="C333:H333"/>
    <mergeCell ref="F310:H310"/>
    <mergeCell ref="D44:D45"/>
    <mergeCell ref="B584:B585"/>
    <mergeCell ref="B479:B480"/>
    <mergeCell ref="D479:D480"/>
    <mergeCell ref="F595:H595"/>
    <mergeCell ref="C143:H143"/>
    <mergeCell ref="B146:B148"/>
    <mergeCell ref="C441:H441"/>
    <mergeCell ref="C99:H99"/>
    <mergeCell ref="C539:C540"/>
    <mergeCell ref="B179:B180"/>
    <mergeCell ref="D179:D180"/>
    <mergeCell ref="B944:B945"/>
    <mergeCell ref="C84:H84"/>
    <mergeCell ref="C320:H320"/>
    <mergeCell ref="C682:D682"/>
    <mergeCell ref="C340:D340"/>
    <mergeCell ref="E71:F73"/>
    <mergeCell ref="C114:H114"/>
    <mergeCell ref="C605:H605"/>
    <mergeCell ref="C101:D103"/>
    <mergeCell ref="B674:B675"/>
    <mergeCell ref="C536:D538"/>
    <mergeCell ref="F880:H880"/>
    <mergeCell ref="C51:H51"/>
    <mergeCell ref="F190:H190"/>
    <mergeCell ref="B356:B358"/>
    <mergeCell ref="C620:H620"/>
    <mergeCell ref="C10:D10"/>
    <mergeCell ref="B464:B465"/>
    <mergeCell ref="E371:F373"/>
    <mergeCell ref="D464:D465"/>
    <mergeCell ref="C443:H443"/>
    <mergeCell ref="D209:D210"/>
    <mergeCell ref="E656:F658"/>
    <mergeCell ref="B56:B58"/>
    <mergeCell ref="C835:D835"/>
    <mergeCell ref="D224:D225"/>
    <mergeCell ref="F775:H775"/>
    <mergeCell ref="C743:H743"/>
    <mergeCell ref="C936:H936"/>
    <mergeCell ref="C130:D130"/>
    <mergeCell ref="C295:D295"/>
    <mergeCell ref="C562:D562"/>
    <mergeCell ref="B941:B943"/>
    <mergeCell ref="E281:F283"/>
    <mergeCell ref="D29:D30"/>
    <mergeCell ref="B101:B103"/>
    <mergeCell ref="C279:H279"/>
    <mergeCell ref="C108:H108"/>
    <mergeCell ref="B641:B643"/>
    <mergeCell ref="C819:H819"/>
    <mergeCell ref="B359:B360"/>
    <mergeCell ref="D824:D825"/>
    <mergeCell ref="D329:D330"/>
    <mergeCell ref="C730:D730"/>
    <mergeCell ref="C20:H20"/>
    <mergeCell ref="C318:H318"/>
    <mergeCell ref="C560:H560"/>
    <mergeCell ref="C109:H109"/>
    <mergeCell ref="F670:H670"/>
    <mergeCell ref="C274:H274"/>
    <mergeCell ref="F142:H142"/>
    <mergeCell ref="C140:H140"/>
    <mergeCell ref="C438:H438"/>
    <mergeCell ref="F502:H502"/>
    <mergeCell ref="C938:H938"/>
    <mergeCell ref="E521:F523"/>
    <mergeCell ref="C430:D430"/>
    <mergeCell ref="C33:H33"/>
    <mergeCell ref="F727:H727"/>
    <mergeCell ref="C905:H905"/>
    <mergeCell ref="C933:H933"/>
    <mergeCell ref="D239:D240"/>
    <mergeCell ref="B779:B780"/>
    <mergeCell ref="C134:C135"/>
    <mergeCell ref="B41:B43"/>
    <mergeCell ref="C127:D127"/>
    <mergeCell ref="C22:D22"/>
    <mergeCell ref="F37:H37"/>
    <mergeCell ref="C724:H724"/>
    <mergeCell ref="F565:H565"/>
    <mergeCell ref="C247:D247"/>
    <mergeCell ref="C412:D412"/>
    <mergeCell ref="F850:H850"/>
    <mergeCell ref="C425:H425"/>
    <mergeCell ref="C521:D523"/>
    <mergeCell ref="C723:H723"/>
    <mergeCell ref="F352:H352"/>
    <mergeCell ref="B341:B343"/>
    <mergeCell ref="C806:D808"/>
    <mergeCell ref="C788:H788"/>
    <mergeCell ref="C636:H636"/>
    <mergeCell ref="E806:F808"/>
    <mergeCell ref="F790:H790"/>
    <mergeCell ref="D629:D630"/>
    <mergeCell ref="C409:H409"/>
    <mergeCell ref="C380:H380"/>
    <mergeCell ref="C476:D478"/>
    <mergeCell ref="C651:H651"/>
    <mergeCell ref="C277:D277"/>
    <mergeCell ref="C159:H159"/>
    <mergeCell ref="C693:H693"/>
    <mergeCell ref="C325:D325"/>
    <mergeCell ref="F355:H355"/>
    <mergeCell ref="C201:H201"/>
    <mergeCell ref="C139:H139"/>
    <mergeCell ref="C44:C45"/>
    <mergeCell ref="C869:C870"/>
    <mergeCell ref="F550:H550"/>
    <mergeCell ref="C203:H203"/>
    <mergeCell ref="C625:D625"/>
    <mergeCell ref="C221:D223"/>
    <mergeCell ref="C561:H561"/>
    <mergeCell ref="C386:D388"/>
    <mergeCell ref="C48:H48"/>
    <mergeCell ref="C153:H153"/>
    <mergeCell ref="C395:H395"/>
    <mergeCell ref="C67:D67"/>
    <mergeCell ref="C69:H69"/>
    <mergeCell ref="C96:H96"/>
    <mergeCell ref="C288:H288"/>
    <mergeCell ref="C459:H459"/>
    <mergeCell ref="C479:C480"/>
    <mergeCell ref="C543:H543"/>
    <mergeCell ref="C785:H785"/>
    <mergeCell ref="F847:H847"/>
    <mergeCell ref="E866:F868"/>
    <mergeCell ref="C864:H864"/>
    <mergeCell ref="E176:F178"/>
    <mergeCell ref="C350:H350"/>
    <mergeCell ref="F625:H625"/>
    <mergeCell ref="C280:D280"/>
    <mergeCell ref="C445:D445"/>
    <mergeCell ref="F85:H85"/>
    <mergeCell ref="C123:H123"/>
    <mergeCell ref="C205:D205"/>
    <mergeCell ref="C100:D100"/>
    <mergeCell ref="C110:H110"/>
    <mergeCell ref="F187:H187"/>
    <mergeCell ref="C944:C945"/>
    <mergeCell ref="C903:H903"/>
    <mergeCell ref="B239:B240"/>
    <mergeCell ref="C329:C330"/>
    <mergeCell ref="C411:H411"/>
    <mergeCell ref="C709:H709"/>
    <mergeCell ref="B821:B823"/>
    <mergeCell ref="C925:D925"/>
    <mergeCell ref="C513:H513"/>
    <mergeCell ref="D524:D525"/>
    <mergeCell ref="C774:H774"/>
    <mergeCell ref="C19:H19"/>
    <mergeCell ref="F835:H835"/>
    <mergeCell ref="C596:D598"/>
    <mergeCell ref="F940:H940"/>
    <mergeCell ref="C548:H548"/>
    <mergeCell ref="B854:B855"/>
    <mergeCell ref="B416:B418"/>
    <mergeCell ref="C304:H304"/>
    <mergeCell ref="C773:H773"/>
    <mergeCell ref="C711:H711"/>
    <mergeCell ref="C83:H83"/>
    <mergeCell ref="D584:D585"/>
    <mergeCell ref="C248:H248"/>
    <mergeCell ref="C319:H319"/>
    <mergeCell ref="E266:F268"/>
    <mergeCell ref="D869:D870"/>
    <mergeCell ref="F205:H205"/>
    <mergeCell ref="C604:H604"/>
    <mergeCell ref="F472:H472"/>
    <mergeCell ref="C607:D607"/>
    <mergeCell ref="B626:B628"/>
    <mergeCell ref="E926:F928"/>
    <mergeCell ref="C889:H889"/>
    <mergeCell ref="B404:B405"/>
    <mergeCell ref="D404:D405"/>
    <mergeCell ref="F415:H415"/>
    <mergeCell ref="C93:H93"/>
    <mergeCell ref="C490:D490"/>
    <mergeCell ref="C845:H845"/>
    <mergeCell ref="C235:D235"/>
    <mergeCell ref="D149:D150"/>
    <mergeCell ref="B689:B690"/>
    <mergeCell ref="C86:D88"/>
    <mergeCell ref="C175:D175"/>
    <mergeCell ref="D689:D690"/>
    <mergeCell ref="C775:D775"/>
    <mergeCell ref="C335:H335"/>
    <mergeCell ref="C891:H891"/>
    <mergeCell ref="F715:H715"/>
    <mergeCell ref="C475:D475"/>
    <mergeCell ref="B206:B208"/>
    <mergeCell ref="C213:H213"/>
    <mergeCell ref="E131:F133"/>
    <mergeCell ref="C920:H920"/>
    <mergeCell ref="F637:H637"/>
    <mergeCell ref="C185:H185"/>
    <mergeCell ref="E566:F568"/>
    <mergeCell ref="C564:H564"/>
    <mergeCell ref="C393:H393"/>
    <mergeCell ref="C907:D907"/>
    <mergeCell ref="E851:F853"/>
    <mergeCell ref="B926:B928"/>
    <mergeCell ref="C284:C285"/>
    <mergeCell ref="C24:H24"/>
    <mergeCell ref="C622:D622"/>
    <mergeCell ref="B701:B703"/>
    <mergeCell ref="C260:H260"/>
    <mergeCell ref="E626:F628"/>
    <mergeCell ref="B104:B105"/>
    <mergeCell ref="C558:H558"/>
    <mergeCell ref="C800:H800"/>
    <mergeCell ref="C190:D190"/>
    <mergeCell ref="C485:H485"/>
    <mergeCell ref="C545:H545"/>
    <mergeCell ref="C641:D643"/>
    <mergeCell ref="C843:H843"/>
    <mergeCell ref="B389:B390"/>
    <mergeCell ref="E641:F643"/>
    <mergeCell ref="D389:D390"/>
    <mergeCell ref="C349:H349"/>
    <mergeCell ref="B461:B463"/>
    <mergeCell ref="C324:H324"/>
    <mergeCell ref="C591:H591"/>
    <mergeCell ref="E26:F28"/>
    <mergeCell ref="F55:H55"/>
    <mergeCell ref="C344:C345"/>
    <mergeCell ref="C124:H124"/>
    <mergeCell ref="D614:D615"/>
    <mergeCell ref="E146:F148"/>
    <mergeCell ref="C160:D160"/>
    <mergeCell ref="C498:H498"/>
    <mergeCell ref="C580:D580"/>
    <mergeCell ref="C158:H158"/>
    <mergeCell ref="C176:D178"/>
    <mergeCell ref="C289:H289"/>
    <mergeCell ref="C9:H9"/>
    <mergeCell ref="C609:H609"/>
    <mergeCell ref="C187:D187"/>
    <mergeCell ref="F100:H100"/>
    <mergeCell ref="C474:H474"/>
    <mergeCell ref="C303:H303"/>
    <mergeCell ref="C530:H530"/>
    <mergeCell ref="B14:B15"/>
    <mergeCell ref="B806:B808"/>
    <mergeCell ref="B251:B253"/>
    <mergeCell ref="C461:D463"/>
    <mergeCell ref="C460:D460"/>
    <mergeCell ref="F700:H700"/>
    <mergeCell ref="C924:H924"/>
    <mergeCell ref="F115:H115"/>
    <mergeCell ref="C169:H169"/>
    <mergeCell ref="B281:B283"/>
    <mergeCell ref="F892:H892"/>
    <mergeCell ref="B839:B840"/>
    <mergeCell ref="D284:D285"/>
    <mergeCell ref="F400:H400"/>
    <mergeCell ref="D449:D450"/>
    <mergeCell ref="D134:D135"/>
    <mergeCell ref="B314:B315"/>
    <mergeCell ref="C760:D760"/>
    <mergeCell ref="C233:H233"/>
    <mergeCell ref="D734:D735"/>
    <mergeCell ref="F337:H337"/>
    <mergeCell ref="C469:H469"/>
    <mergeCell ref="C581:D583"/>
    <mergeCell ref="E431:F433"/>
    <mergeCell ref="C487:D487"/>
    <mergeCell ref="C929:C930"/>
    <mergeCell ref="C731:D733"/>
    <mergeCell ref="C18:H18"/>
    <mergeCell ref="F712:H712"/>
    <mergeCell ref="C456:H456"/>
    <mergeCell ref="B884:B885"/>
    <mergeCell ref="E791:F793"/>
    <mergeCell ref="B866:B868"/>
    <mergeCell ref="B551:B553"/>
    <mergeCell ref="D884:D885"/>
    <mergeCell ref="C532:D532"/>
    <mergeCell ref="C754:H754"/>
    <mergeCell ref="E101:F103"/>
    <mergeCell ref="B611:B613"/>
    <mergeCell ref="C156:H156"/>
    <mergeCell ref="B899:B900"/>
    <mergeCell ref="D899:D900"/>
    <mergeCell ref="C309:H309"/>
    <mergeCell ref="C652:D652"/>
    <mergeCell ref="C230:H230"/>
    <mergeCell ref="C168:H168"/>
    <mergeCell ref="F307:H307"/>
    <mergeCell ref="C161:D163"/>
    <mergeCell ref="C830:H830"/>
    <mergeCell ref="B764:B765"/>
    <mergeCell ref="C708:H708"/>
    <mergeCell ref="C29:C30"/>
    <mergeCell ref="C926:D928"/>
    <mergeCell ref="F592:H592"/>
    <mergeCell ref="C848:H848"/>
    <mergeCell ref="C56:D58"/>
    <mergeCell ref="B401:B403"/>
    <mergeCell ref="C941:D943"/>
    <mergeCell ref="E386:F388"/>
    <mergeCell ref="C384:H384"/>
    <mergeCell ref="C624:H624"/>
    <mergeCell ref="D644:D645"/>
    <mergeCell ref="E671:F673"/>
    <mergeCell ref="B746:B748"/>
    <mergeCell ref="E776:F778"/>
    <mergeCell ref="F757:H757"/>
    <mergeCell ref="C918:H918"/>
    <mergeCell ref="D929:D930"/>
    <mergeCell ref="B149:B150"/>
    <mergeCell ref="C104:C105"/>
    <mergeCell ref="E686:F688"/>
    <mergeCell ref="C269:C270"/>
    <mergeCell ref="D434:D435"/>
    <mergeCell ref="C684:H684"/>
    <mergeCell ref="C389:C390"/>
    <mergeCell ref="C250:D250"/>
    <mergeCell ref="C535:D535"/>
    <mergeCell ref="D194:D195"/>
    <mergeCell ref="C404:C405"/>
    <mergeCell ref="C244:H244"/>
    <mergeCell ref="F610:H610"/>
    <mergeCell ref="B266:B268"/>
    <mergeCell ref="F877:H877"/>
    <mergeCell ref="C689:C690"/>
    <mergeCell ref="F475:H475"/>
    <mergeCell ref="C472:D472"/>
    <mergeCell ref="C219:H219"/>
    <mergeCell ref="C146:D148"/>
    <mergeCell ref="C759:H759"/>
    <mergeCell ref="C3:H3"/>
    <mergeCell ref="C517:D517"/>
    <mergeCell ref="C68:H68"/>
    <mergeCell ref="C804:H804"/>
    <mergeCell ref="C608:H608"/>
    <mergeCell ref="E191:F193"/>
    <mergeCell ref="E86:F88"/>
    <mergeCell ref="C626:D628"/>
    <mergeCell ref="F172:H172"/>
    <mergeCell ref="F292:H292"/>
    <mergeCell ref="F397:H397"/>
    <mergeCell ref="F457:H457"/>
    <mergeCell ref="E476:F478"/>
    <mergeCell ref="C5:H5"/>
    <mergeCell ref="B446:B448"/>
    <mergeCell ref="C893:H893"/>
    <mergeCell ref="C817:D817"/>
    <mergeCell ref="C21:H21"/>
    <mergeCell ref="C41:D43"/>
    <mergeCell ref="C206:D208"/>
    <mergeCell ref="C23:H23"/>
    <mergeCell ref="C753:H753"/>
    <mergeCell ref="B299:B300"/>
    <mergeCell ref="E206:F208"/>
    <mergeCell ref="C606:H606"/>
    <mergeCell ref="C740:H740"/>
    <mergeCell ref="F412:H412"/>
    <mergeCell ref="C491:D493"/>
    <mergeCell ref="C544:H544"/>
    <mergeCell ref="E491:F493"/>
    <mergeCell ref="B566:B568"/>
    <mergeCell ref="C232:D232"/>
    <mergeCell ref="F907:H907"/>
    <mergeCell ref="C669:H669"/>
    <mergeCell ref="B26:B28"/>
    <mergeCell ref="F460:H460"/>
    <mergeCell ref="C8:H8"/>
    <mergeCell ref="C890:H890"/>
    <mergeCell ref="C704:C705"/>
    <mergeCell ref="C529:H529"/>
    <mergeCell ref="C719:C720"/>
    <mergeCell ref="F760:H760"/>
    <mergeCell ref="C308:H308"/>
    <mergeCell ref="C66:H66"/>
    <mergeCell ref="C53:H53"/>
    <mergeCell ref="C229:H229"/>
    <mergeCell ref="C351:H351"/>
    <mergeCell ref="C593:H593"/>
    <mergeCell ref="F157:H157"/>
    <mergeCell ref="C356:D358"/>
    <mergeCell ref="C314:C315"/>
    <mergeCell ref="F697:H697"/>
    <mergeCell ref="C829:H829"/>
    <mergeCell ref="C895:D895"/>
    <mergeCell ref="C519:H519"/>
    <mergeCell ref="C772:D772"/>
    <mergeCell ref="F685:H685"/>
    <mergeCell ref="B851:B853"/>
    <mergeCell ref="C506:D508"/>
    <mergeCell ref="B599:B600"/>
    <mergeCell ref="E506:F508"/>
    <mergeCell ref="B161:B163"/>
    <mergeCell ref="D599:D600"/>
    <mergeCell ref="C40:D40"/>
    <mergeCell ref="D944:D945"/>
    <mergeCell ref="F520:H520"/>
    <mergeCell ref="C264:H264"/>
    <mergeCell ref="B344:B345"/>
    <mergeCell ref="B326:B328"/>
    <mergeCell ref="D344:D345"/>
    <mergeCell ref="B11:B13"/>
    <mergeCell ref="C299:C300"/>
    <mergeCell ref="C592:D592"/>
    <mergeCell ref="C879:H879"/>
    <mergeCell ref="C866:D868"/>
    <mergeCell ref="C216:H216"/>
    <mergeCell ref="F532:H532"/>
    <mergeCell ref="C514:H514"/>
    <mergeCell ref="C756:H756"/>
    <mergeCell ref="C816:H816"/>
    <mergeCell ref="C234:H234"/>
    <mergeCell ref="C501:H501"/>
    <mergeCell ref="C599:C600"/>
    <mergeCell ref="C892:D892"/>
    <mergeCell ref="B911:B913"/>
    <mergeCell ref="F40:H40"/>
    <mergeCell ref="C353:H353"/>
    <mergeCell ref="C884:C885"/>
    <mergeCell ref="C218:H218"/>
    <mergeCell ref="C63:H63"/>
    <mergeCell ref="C305:H305"/>
    <mergeCell ref="C50:H50"/>
    <mergeCell ref="F325:H325"/>
    <mergeCell ref="C755:H755"/>
    <mergeCell ref="C685:D685"/>
    <mergeCell ref="C861:H861"/>
    <mergeCell ref="C880:D880"/>
    <mergeCell ref="F910:H910"/>
    <mergeCell ref="E731:F733"/>
    <mergeCell ref="C803:H803"/>
    <mergeCell ref="B824:B825"/>
    <mergeCell ref="F220:H220"/>
    <mergeCell ref="D269:D270"/>
    <mergeCell ref="F385:H385"/>
    <mergeCell ref="C382:D382"/>
    <mergeCell ref="C516:H516"/>
    <mergeCell ref="C638:H638"/>
    <mergeCell ref="C814:H814"/>
    <mergeCell ref="C874:H874"/>
    <mergeCell ref="B224:B225"/>
    <mergeCell ref="F742:H742"/>
    <mergeCell ref="C310:D310"/>
    <mergeCell ref="F340:H340"/>
    <mergeCell ref="F607:H607"/>
    <mergeCell ref="B761:B763"/>
    <mergeCell ref="C453:H453"/>
    <mergeCell ref="C427:D427"/>
    <mergeCell ref="C713:H713"/>
    <mergeCell ref="C664:H664"/>
    <mergeCell ref="C906:H906"/>
    <mergeCell ref="C854:C855"/>
    <mergeCell ref="C265:D265"/>
    <mergeCell ref="C805:D805"/>
    <mergeCell ref="C623:H623"/>
    <mergeCell ref="C408:H408"/>
    <mergeCell ref="C650:H650"/>
    <mergeCell ref="B329:B330"/>
    <mergeCell ref="B869:B870"/>
    <mergeCell ref="C937:D937"/>
    <mergeCell ref="D359:D360"/>
    <mergeCell ref="C273:H273"/>
    <mergeCell ref="C698:H698"/>
    <mergeCell ref="F802:H802"/>
    <mergeCell ref="C39:H39"/>
    <mergeCell ref="C144:H144"/>
    <mergeCell ref="C164:C165"/>
    <mergeCell ref="C635:H635"/>
    <mergeCell ref="C744:H744"/>
    <mergeCell ref="B119:B120"/>
    <mergeCell ref="C429:H429"/>
    <mergeCell ref="C573:H573"/>
    <mergeCell ref="C251:D253"/>
    <mergeCell ref="C798:H798"/>
    <mergeCell ref="C81:H81"/>
    <mergeCell ref="C414:H414"/>
    <mergeCell ref="B386:B388"/>
    <mergeCell ref="C339:H339"/>
    <mergeCell ref="C366:H366"/>
    <mergeCell ref="F505:H505"/>
    <mergeCell ref="C149:C150"/>
    <mergeCell ref="C935:H935"/>
    <mergeCell ref="B419:B420"/>
    <mergeCell ref="C729:H729"/>
    <mergeCell ref="C749:C750"/>
    <mergeCell ref="C865:D865"/>
    <mergeCell ref="C551:D553"/>
    <mergeCell ref="C381:H381"/>
    <mergeCell ref="E551:F553"/>
    <mergeCell ref="B704:B705"/>
    <mergeCell ref="C80:H80"/>
    <mergeCell ref="C940:D940"/>
    <mergeCell ref="C49:H49"/>
    <mergeCell ref="C649:H649"/>
    <mergeCell ref="F517:H517"/>
    <mergeCell ref="C52:D52"/>
    <mergeCell ref="C337:D337"/>
    <mergeCell ref="C442:D442"/>
    <mergeCell ref="C11:D13"/>
    <mergeCell ref="C877:D877"/>
    <mergeCell ref="E11:F13"/>
    <mergeCell ref="C434:C435"/>
    <mergeCell ref="C611:D613"/>
    <mergeCell ref="C727:D727"/>
    <mergeCell ref="F217:H217"/>
    <mergeCell ref="C296:D298"/>
    <mergeCell ref="F277:H277"/>
    <mergeCell ref="B371:B373"/>
    <mergeCell ref="E296:F298"/>
    <mergeCell ref="C352:D352"/>
    <mergeCell ref="C37:D37"/>
    <mergeCell ref="F817:H817"/>
    <mergeCell ref="C126:H126"/>
    <mergeCell ref="C259:H259"/>
    <mergeCell ref="B431:B433"/>
    <mergeCell ref="C637:D637"/>
    <mergeCell ref="B656:B658"/>
    <mergeCell ref="B716:B718"/>
    <mergeCell ref="B59:B60"/>
    <mergeCell ref="C145:D145"/>
    <mergeCell ref="D59:D60"/>
    <mergeCell ref="C261:H261"/>
    <mergeCell ref="F577:H577"/>
    <mergeCell ref="C922:D922"/>
    <mergeCell ref="C444:H444"/>
    <mergeCell ref="C129:H129"/>
    <mergeCell ref="C787:D787"/>
    <mergeCell ref="F262:H262"/>
    <mergeCell ref="C365:H365"/>
    <mergeCell ref="F862:H862"/>
    <mergeCell ref="E881:F883"/>
    <mergeCell ref="C95:H95"/>
    <mergeCell ref="C746:D748"/>
    <mergeCell ref="F370:H370"/>
    <mergeCell ref="D104:D105"/>
    <mergeCell ref="C665:H665"/>
    <mergeCell ref="C55:D55"/>
    <mergeCell ref="B236:B238"/>
    <mergeCell ref="C710:H710"/>
    <mergeCell ref="C454:H454"/>
    <mergeCell ref="C115:D115"/>
    <mergeCell ref="C359:C360"/>
    <mergeCell ref="C739:H739"/>
    <mergeCell ref="C400:D400"/>
    <mergeCell ref="C311:D313"/>
    <mergeCell ref="C858:H858"/>
    <mergeCell ref="C824:C825"/>
    <mergeCell ref="C714:H714"/>
    <mergeCell ref="B71:B73"/>
    <mergeCell ref="C518:H518"/>
    <mergeCell ref="E596:F598"/>
    <mergeCell ref="B749:B750"/>
    <mergeCell ref="D749:D750"/>
    <mergeCell ref="C546:H546"/>
    <mergeCell ref="C919:H919"/>
    <mergeCell ref="D14:D15"/>
    <mergeCell ref="C224:C225"/>
    <mergeCell ref="E461:F463"/>
    <mergeCell ref="B116:B118"/>
    <mergeCell ref="B554:B555"/>
    <mergeCell ref="C640:D640"/>
    <mergeCell ref="C726:H726"/>
    <mergeCell ref="F865:H865"/>
    <mergeCell ref="C509:C510"/>
    <mergeCell ref="D839:D840"/>
    <mergeCell ref="C334:H334"/>
    <mergeCell ref="C911:D913"/>
    <mergeCell ref="C128:H128"/>
    <mergeCell ref="C741:H741"/>
    <mergeCell ref="D314:D315"/>
    <mergeCell ref="C426:H426"/>
    <mergeCell ref="B731:B733"/>
    <mergeCell ref="D854:D855"/>
    <mergeCell ref="C728:H728"/>
    <mergeCell ref="C113:H113"/>
    <mergeCell ref="C200:H200"/>
    <mergeCell ref="C809:C810"/>
    <mergeCell ref="C94:H94"/>
    <mergeCell ref="C65:H65"/>
    <mergeCell ref="C336:H336"/>
    <mergeCell ref="C563:H563"/>
    <mergeCell ref="C634:H634"/>
    <mergeCell ref="F562:H562"/>
    <mergeCell ref="E581:F583"/>
    <mergeCell ref="C761:D763"/>
    <mergeCell ref="C428:H428"/>
    <mergeCell ref="C446:D448"/>
    <mergeCell ref="C921:H921"/>
    <mergeCell ref="C401:D403"/>
    <mergeCell ref="C473:H473"/>
    <mergeCell ref="F547:H547"/>
    <mergeCell ref="C142:D142"/>
    <mergeCell ref="C679:H679"/>
    <mergeCell ref="C908:H908"/>
    <mergeCell ref="C423:H423"/>
    <mergeCell ref="C174:H174"/>
    <mergeCell ref="C565:D565"/>
    <mergeCell ref="C832:D832"/>
    <mergeCell ref="C410:H410"/>
    <mergeCell ref="E161:F163"/>
    <mergeCell ref="C701:D703"/>
    <mergeCell ref="C189:H189"/>
    <mergeCell ref="C209:C210"/>
    <mergeCell ref="D164:D165"/>
    <mergeCell ref="F667:H667"/>
    <mergeCell ref="C199:H199"/>
    <mergeCell ref="C415:D415"/>
    <mergeCell ref="C186:H186"/>
    <mergeCell ref="F430:H430"/>
    <mergeCell ref="C484:H484"/>
    <mergeCell ref="F490:H490"/>
    <mergeCell ref="C569:C570"/>
    <mergeCell ref="C263:H263"/>
    <mergeCell ref="C850:D850"/>
    <mergeCell ref="D764:D765"/>
    <mergeCell ref="C695:H695"/>
    <mergeCell ref="F367:H367"/>
    <mergeCell ref="C499:H499"/>
    <mergeCell ref="C715:D715"/>
    <mergeCell ref="F25:H25"/>
    <mergeCell ref="C486:H486"/>
    <mergeCell ref="B629:B630"/>
    <mergeCell ref="F652:H652"/>
    <mergeCell ref="C784:H784"/>
    <mergeCell ref="C290:H290"/>
    <mergeCell ref="E41:F43"/>
    <mergeCell ref="F127:H127"/>
    <mergeCell ref="D299:D300"/>
    <mergeCell ref="E746:F748"/>
    <mergeCell ref="C786:H786"/>
    <mergeCell ref="E56:F58"/>
    <mergeCell ref="C794:C795"/>
    <mergeCell ref="C54:H54"/>
    <mergeCell ref="C321:H321"/>
    <mergeCell ref="E341:F343"/>
    <mergeCell ref="C397:D397"/>
    <mergeCell ref="C413:H413"/>
    <mergeCell ref="C505:D505"/>
    <mergeCell ref="F247:H247"/>
    <mergeCell ref="C379:H379"/>
    <mergeCell ref="C621:H621"/>
    <mergeCell ref="C59:C60"/>
    <mergeCell ref="B221:B223"/>
    <mergeCell ref="F67:H67"/>
    <mergeCell ref="F82:H82"/>
    <mergeCell ref="B254:B255"/>
    <mergeCell ref="B521:B523"/>
    <mergeCell ref="B164:B165"/>
    <mergeCell ref="B269:B270"/>
    <mergeCell ref="C34:H34"/>
    <mergeCell ref="B539:B540"/>
    <mergeCell ref="F265:H265"/>
    <mergeCell ref="C666:H666"/>
    <mergeCell ref="F805:H805"/>
    <mergeCell ref="C449:C450"/>
    <mergeCell ref="D539:D540"/>
    <mergeCell ref="B719:B720"/>
    <mergeCell ref="F202:H202"/>
    <mergeCell ref="C258:H258"/>
    <mergeCell ref="C500:H500"/>
    <mergeCell ref="C245:H245"/>
    <mergeCell ref="C341:D343"/>
    <mergeCell ref="C79:H79"/>
    <mergeCell ref="C184:H184"/>
    <mergeCell ref="E116:F118"/>
    <mergeCell ref="C171:H171"/>
    <mergeCell ref="E401:F403"/>
    <mergeCell ref="F112:H112"/>
    <mergeCell ref="B449:B450"/>
    <mergeCell ref="C515:H515"/>
    <mergeCell ref="C533:H533"/>
    <mergeCell ref="D719:D720"/>
    <mergeCell ref="F925:H925"/>
    <mergeCell ref="C14:C15"/>
    <mergeCell ref="C771:H771"/>
    <mergeCell ref="F235:H235"/>
    <mergeCell ref="C554:C555"/>
    <mergeCell ref="C847:D847"/>
    <mergeCell ref="B509:B510"/>
    <mergeCell ref="E416:F418"/>
    <mergeCell ref="C934:H934"/>
    <mergeCell ref="D509:D510"/>
    <mergeCell ref="C595:D595"/>
    <mergeCell ref="C173:H173"/>
    <mergeCell ref="D674:D675"/>
    <mergeCell ref="C471:H471"/>
    <mergeCell ref="B776:B778"/>
    <mergeCell ref="C97:D97"/>
    <mergeCell ref="B809:B810"/>
    <mergeCell ref="D809:D810"/>
    <mergeCell ref="B311:B313"/>
    <mergeCell ref="C860:H860"/>
    <mergeCell ref="F622:H622"/>
    <mergeCell ref="F130:H130"/>
    <mergeCell ref="B296:B298"/>
    <mergeCell ref="B44:B45"/>
    <mergeCell ref="B29:B30"/>
    <mergeCell ref="B794:B795"/>
    <mergeCell ref="E701:F703"/>
    <mergeCell ref="D794:D795"/>
    <mergeCell ref="E446:F448"/>
    <mergeCell ref="C322:D322"/>
    <mergeCell ref="C574:H574"/>
    <mergeCell ref="C790:D790"/>
    <mergeCell ref="F22:H22"/>
    <mergeCell ref="C458:H458"/>
    <mergeCell ref="C694:H694"/>
    <mergeCell ref="F820:H820"/>
    <mergeCell ref="D554:D555"/>
    <mergeCell ref="C758:H758"/>
    <mergeCell ref="C38:H38"/>
    <mergeCell ref="C249:H249"/>
    <mergeCell ref="C78:H78"/>
    <mergeCell ref="C71:D73"/>
    <mergeCell ref="E536:F538"/>
    <mergeCell ref="C618:H618"/>
    <mergeCell ref="B581:B583"/>
    <mergeCell ref="C363:H363"/>
    <mergeCell ref="C534:H534"/>
    <mergeCell ref="C338:H338"/>
    <mergeCell ref="C770:H770"/>
    <mergeCell ref="F442:H442"/>
    <mergeCell ref="B614:B615"/>
    <mergeCell ref="B176:B178"/>
    <mergeCell ref="C262:D262"/>
    <mergeCell ref="C700:D700"/>
    <mergeCell ref="C549:H549"/>
    <mergeCell ref="C802:D802"/>
    <mergeCell ref="C378:H378"/>
    <mergeCell ref="C254:C255"/>
    <mergeCell ref="C371:D373"/>
    <mergeCell ref="C547:D547"/>
    <mergeCell ref="C629:C630"/>
    <mergeCell ref="C383:H383"/>
    <mergeCell ref="C183:H183"/>
    <mergeCell ref="F322:H322"/>
    <mergeCell ref="C923:H923"/>
    <mergeCell ref="F487:H487"/>
    <mergeCell ref="C686:D688"/>
    <mergeCell ref="C594:H594"/>
    <mergeCell ref="C904:H904"/>
    <mergeCell ref="C172:D172"/>
    <mergeCell ref="F772:H772"/>
    <mergeCell ref="C394:H394"/>
    <mergeCell ref="B506:B508"/>
    <mergeCell ref="C198:H198"/>
    <mergeCell ref="C712:D712"/>
    <mergeCell ref="C839:C840"/>
    <mergeCell ref="C281:D283"/>
    <mergeCell ref="B791:B793"/>
    <mergeCell ref="C483:H483"/>
    <mergeCell ref="D254:D255"/>
    <mergeCell ref="C419:C420"/>
    <mergeCell ref="B881:B883"/>
    <mergeCell ref="C834:H834"/>
    <mergeCell ref="B209:B210"/>
    <mergeCell ref="F640:H640"/>
    <mergeCell ref="B191:B193"/>
    <mergeCell ref="C656:D658"/>
    <mergeCell ref="C663:H663"/>
    <mergeCell ref="C789:H789"/>
    <mergeCell ref="C550:D550"/>
    <mergeCell ref="C783:H783"/>
    <mergeCell ref="B914:B915"/>
    <mergeCell ref="B476:B478"/>
    <mergeCell ref="D914:D915"/>
    <mergeCell ref="C231:H231"/>
    <mergeCell ref="B686:B688"/>
  </mergeCells>
  <pageMargins left="0.7" right="0.7" top="0.75" bottom="0.75" header="0.511811023622047" footer="0.511811023622047"/>
  <pageSetup scale="85" fitToHeight="0" orientation="portrait" horizontalDpi="300" verticalDpi="300"/>
  <rowBreaks count="62" manualBreakCount="62">
    <brk id="17" max="16383" man="1"/>
    <brk id="32" max="16383" man="1"/>
    <brk id="47" max="16383" man="1"/>
    <brk id="62" max="16383" man="1"/>
    <brk id="77" max="16383" man="1"/>
    <brk id="92" max="16383" man="1"/>
    <brk id="107" max="16383" man="1"/>
    <brk id="122" max="16383" man="1"/>
    <brk id="137" max="16383" man="1"/>
    <brk id="152" max="16383" man="1"/>
    <brk id="167" max="16383" man="1"/>
    <brk id="182" max="16383" man="1"/>
    <brk id="197" max="16383" man="1"/>
    <brk id="212" max="16383" man="1"/>
    <brk id="227" max="16383" man="1"/>
    <brk id="242" max="16383" man="1"/>
    <brk id="257" max="16383" man="1"/>
    <brk id="272" max="16383" man="1"/>
    <brk id="287" max="16383" man="1"/>
    <brk id="302" max="16383" man="1"/>
    <brk id="317" max="16383" man="1"/>
    <brk id="332" max="16383" man="1"/>
    <brk id="347" max="16383" man="1"/>
    <brk id="362" max="16383" man="1"/>
    <brk id="377" max="16383" man="1"/>
    <brk id="392" max="16383" man="1"/>
    <brk id="407" max="16383" man="1"/>
    <brk id="422" max="16383" man="1"/>
    <brk id="437" max="16383" man="1"/>
    <brk id="452" max="16383" man="1"/>
    <brk id="467" max="16383" man="1"/>
    <brk id="482" max="16383" man="1"/>
    <brk id="497" max="16383" man="1"/>
    <brk id="512" max="16383" man="1"/>
    <brk id="527" max="16383" man="1"/>
    <brk id="542" max="16383" man="1"/>
    <brk id="557" max="16383" man="1"/>
    <brk id="572" max="16383" man="1"/>
    <brk id="587" max="16383" man="1"/>
    <brk id="602" max="16383" man="1"/>
    <brk id="617" max="16383" man="1"/>
    <brk id="632" max="16383" man="1"/>
    <brk id="647" max="16383" man="1"/>
    <brk id="662" max="16383" man="1"/>
    <brk id="677" max="16383" man="1"/>
    <brk id="692" max="16383" man="1"/>
    <brk id="707" max="16383" man="1"/>
    <brk id="722" max="16383" man="1"/>
    <brk id="737" max="16383" man="1"/>
    <brk id="752" max="16383" man="1"/>
    <brk id="767" max="16383" man="1"/>
    <brk id="782" max="16383" man="1"/>
    <brk id="797" max="16383" man="1"/>
    <brk id="812" max="16383" man="1"/>
    <brk id="827" max="16383" man="1"/>
    <brk id="842" max="16383" man="1"/>
    <brk id="857" max="16383" man="1"/>
    <brk id="872" max="16383" man="1"/>
    <brk id="887" max="16383" man="1"/>
    <brk id="902" max="16383" man="1"/>
    <brk id="917" max="16383" man="1"/>
    <brk id="932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5"/>
  <dimension ref="B1:F9"/>
  <sheetViews>
    <sheetView zoomScaleNormal="100" workbookViewId="0">
      <selection activeCell="B21" sqref="B21"/>
    </sheetView>
  </sheetViews>
  <sheetFormatPr baseColWidth="10" defaultColWidth="8" defaultRowHeight="14.4"/>
  <cols>
    <col min="1" max="1" width="10" customWidth="1"/>
    <col min="2" max="2" width="21.33203125" customWidth="1"/>
    <col min="3" max="5" width="20.44140625" customWidth="1"/>
  </cols>
  <sheetData>
    <row r="1" spans="2:6" ht="14.25" customHeight="1">
      <c r="F1" s="38"/>
    </row>
    <row r="2" spans="2:6" ht="42" customHeight="1">
      <c r="B2" s="39"/>
      <c r="C2" s="286" t="s">
        <v>865</v>
      </c>
      <c r="D2" s="253"/>
      <c r="E2" s="254"/>
    </row>
    <row r="3" spans="2:6" ht="42" customHeight="1">
      <c r="B3" s="40"/>
      <c r="C3" s="286" t="s">
        <v>866</v>
      </c>
      <c r="D3" s="253"/>
      <c r="E3" s="254"/>
    </row>
    <row r="4" spans="2:6" ht="18" customHeight="1">
      <c r="B4" s="289" t="s">
        <v>867</v>
      </c>
      <c r="C4" s="265"/>
      <c r="D4" s="265"/>
      <c r="E4" s="276"/>
    </row>
    <row r="5" spans="2:6" ht="14.25" customHeight="1">
      <c r="B5" s="41" t="s">
        <v>2</v>
      </c>
      <c r="C5" s="288" t="s">
        <v>868</v>
      </c>
      <c r="D5" s="253"/>
      <c r="E5" s="254"/>
    </row>
    <row r="6" spans="2:6" ht="28.5" customHeight="1">
      <c r="B6" s="41" t="s">
        <v>4</v>
      </c>
      <c r="C6" s="288" t="s">
        <v>869</v>
      </c>
      <c r="D6" s="253"/>
      <c r="E6" s="254"/>
    </row>
    <row r="7" spans="2:6" ht="28.5" customHeight="1">
      <c r="B7" s="41" t="s">
        <v>6</v>
      </c>
      <c r="C7" s="14" t="s">
        <v>870</v>
      </c>
      <c r="D7" s="41" t="s">
        <v>8</v>
      </c>
      <c r="E7" s="42" t="s">
        <v>871</v>
      </c>
    </row>
    <row r="8" spans="2:6" ht="14.25" customHeight="1">
      <c r="B8" s="290" t="s">
        <v>872</v>
      </c>
      <c r="C8" s="287">
        <v>43891</v>
      </c>
      <c r="D8" s="41" t="s">
        <v>873</v>
      </c>
      <c r="E8" s="42" t="s">
        <v>874</v>
      </c>
    </row>
    <row r="9" spans="2:6" ht="45.75" customHeight="1">
      <c r="B9" s="281"/>
      <c r="C9" s="281"/>
      <c r="D9" s="41" t="s">
        <v>875</v>
      </c>
      <c r="E9" s="43">
        <v>42155</v>
      </c>
    </row>
  </sheetData>
  <mergeCells count="7">
    <mergeCell ref="C2:E2"/>
    <mergeCell ref="C8:C9"/>
    <mergeCell ref="C5:E5"/>
    <mergeCell ref="B4:E4"/>
    <mergeCell ref="B8:B9"/>
    <mergeCell ref="C3:E3"/>
    <mergeCell ref="C6:E6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6"/>
  <dimension ref="A1:E31"/>
  <sheetViews>
    <sheetView zoomScaleNormal="100" workbookViewId="0">
      <selection activeCell="C16" sqref="C16"/>
    </sheetView>
  </sheetViews>
  <sheetFormatPr baseColWidth="10" defaultColWidth="8" defaultRowHeight="14.4"/>
  <cols>
    <col min="1" max="1" width="18.88671875" customWidth="1"/>
    <col min="2" max="2" width="21.6640625" customWidth="1"/>
    <col min="3" max="3" width="29.5546875" customWidth="1"/>
    <col min="4" max="4" width="19.109375" customWidth="1"/>
    <col min="5" max="5" width="21.109375" customWidth="1"/>
  </cols>
  <sheetData>
    <row r="1" spans="1:5" ht="15" customHeight="1"/>
    <row r="2" spans="1:5" ht="15" customHeight="1">
      <c r="A2" s="44"/>
      <c r="B2" s="292" t="s">
        <v>876</v>
      </c>
      <c r="C2" s="293"/>
      <c r="D2" s="294"/>
      <c r="E2" s="45"/>
    </row>
    <row r="3" spans="1:5" ht="15" customHeight="1">
      <c r="A3" s="46"/>
      <c r="B3" s="291" t="s">
        <v>877</v>
      </c>
      <c r="C3" s="260"/>
      <c r="D3" s="274"/>
      <c r="E3" s="47"/>
    </row>
    <row r="4" spans="1:5" ht="15" customHeight="1">
      <c r="A4" s="48"/>
      <c r="B4" s="295" t="s">
        <v>878</v>
      </c>
      <c r="C4" s="296"/>
      <c r="D4" s="297"/>
      <c r="E4" s="49"/>
    </row>
    <row r="5" spans="1:5" ht="28.5" customHeight="1">
      <c r="A5" s="50" t="s">
        <v>879</v>
      </c>
      <c r="B5" s="51" t="s">
        <v>880</v>
      </c>
      <c r="C5" s="51" t="s">
        <v>881</v>
      </c>
      <c r="D5" s="51" t="s">
        <v>882</v>
      </c>
      <c r="E5" s="52" t="s">
        <v>883</v>
      </c>
    </row>
    <row r="6" spans="1:5" ht="14.25" customHeight="1">
      <c r="A6" s="53" t="s">
        <v>884</v>
      </c>
      <c r="B6" s="54">
        <v>42019</v>
      </c>
      <c r="C6" s="4" t="s">
        <v>885</v>
      </c>
      <c r="D6" s="4">
        <v>20</v>
      </c>
      <c r="E6" s="55" t="s">
        <v>886</v>
      </c>
    </row>
    <row r="7" spans="1:5" ht="14.25" customHeight="1">
      <c r="A7" s="56"/>
      <c r="B7" s="57"/>
      <c r="C7" s="57"/>
      <c r="D7" s="57"/>
      <c r="E7" s="58"/>
    </row>
    <row r="8" spans="1:5" ht="14.25" customHeight="1">
      <c r="A8" s="56"/>
      <c r="B8" s="57"/>
      <c r="C8" s="57"/>
      <c r="D8" s="57"/>
      <c r="E8" s="58"/>
    </row>
    <row r="9" spans="1:5" ht="14.25" customHeight="1">
      <c r="A9" s="56"/>
      <c r="B9" s="57"/>
      <c r="C9" s="57"/>
      <c r="D9" s="57"/>
      <c r="E9" s="58"/>
    </row>
    <row r="10" spans="1:5" ht="14.25" customHeight="1">
      <c r="A10" s="56"/>
      <c r="B10" s="57"/>
      <c r="C10" s="57"/>
      <c r="D10" s="57"/>
      <c r="E10" s="58"/>
    </row>
    <row r="11" spans="1:5" ht="14.25" customHeight="1">
      <c r="A11" s="56"/>
      <c r="B11" s="57"/>
      <c r="C11" s="57"/>
      <c r="D11" s="57"/>
      <c r="E11" s="58"/>
    </row>
    <row r="12" spans="1:5" ht="14.25" customHeight="1">
      <c r="A12" s="56"/>
      <c r="B12" s="57"/>
      <c r="C12" s="57"/>
      <c r="D12" s="57"/>
      <c r="E12" s="58"/>
    </row>
    <row r="13" spans="1:5" ht="14.25" customHeight="1">
      <c r="A13" s="56"/>
      <c r="B13" s="57"/>
      <c r="C13" s="57"/>
      <c r="D13" s="57"/>
      <c r="E13" s="58"/>
    </row>
    <row r="14" spans="1:5" ht="14.25" customHeight="1">
      <c r="A14" s="56"/>
      <c r="B14" s="57"/>
      <c r="C14" s="57"/>
      <c r="D14" s="57"/>
      <c r="E14" s="58"/>
    </row>
    <row r="15" spans="1:5" ht="14.25" customHeight="1">
      <c r="A15" s="56"/>
      <c r="B15" s="57"/>
      <c r="C15" s="57"/>
      <c r="D15" s="57"/>
      <c r="E15" s="58"/>
    </row>
    <row r="16" spans="1:5" ht="14.25" customHeight="1">
      <c r="A16" s="56"/>
      <c r="B16" s="57"/>
      <c r="C16" s="57"/>
      <c r="D16" s="57"/>
      <c r="E16" s="58"/>
    </row>
    <row r="17" spans="1:5" ht="14.25" customHeight="1">
      <c r="A17" s="56"/>
      <c r="B17" s="57"/>
      <c r="C17" s="57"/>
      <c r="D17" s="57"/>
      <c r="E17" s="58"/>
    </row>
    <row r="18" spans="1:5" ht="14.25" customHeight="1">
      <c r="A18" s="56"/>
      <c r="B18" s="57"/>
      <c r="C18" s="57"/>
      <c r="D18" s="57"/>
      <c r="E18" s="58"/>
    </row>
    <row r="19" spans="1:5" ht="14.25" customHeight="1">
      <c r="A19" s="56"/>
      <c r="B19" s="57"/>
      <c r="C19" s="57"/>
      <c r="D19" s="57"/>
      <c r="E19" s="58"/>
    </row>
    <row r="20" spans="1:5" ht="14.25" customHeight="1">
      <c r="A20" s="56"/>
      <c r="B20" s="57"/>
      <c r="C20" s="57"/>
      <c r="D20" s="57"/>
      <c r="E20" s="58"/>
    </row>
    <row r="21" spans="1:5" ht="14.25" customHeight="1">
      <c r="A21" s="56"/>
      <c r="B21" s="57"/>
      <c r="C21" s="57"/>
      <c r="D21" s="57"/>
      <c r="E21" s="58"/>
    </row>
    <row r="22" spans="1:5" ht="14.25" customHeight="1">
      <c r="A22" s="56"/>
      <c r="B22" s="57"/>
      <c r="C22" s="57"/>
      <c r="D22" s="57"/>
      <c r="E22" s="58"/>
    </row>
    <row r="23" spans="1:5" ht="14.25" customHeight="1">
      <c r="A23" s="56"/>
      <c r="B23" s="57"/>
      <c r="C23" s="57"/>
      <c r="D23" s="57"/>
      <c r="E23" s="58"/>
    </row>
    <row r="24" spans="1:5" ht="14.25" customHeight="1">
      <c r="A24" s="56"/>
      <c r="B24" s="57"/>
      <c r="C24" s="57"/>
      <c r="D24" s="57"/>
      <c r="E24" s="58"/>
    </row>
    <row r="25" spans="1:5" ht="14.25" customHeight="1">
      <c r="A25" s="56"/>
      <c r="B25" s="57"/>
      <c r="C25" s="57"/>
      <c r="D25" s="57"/>
      <c r="E25" s="58"/>
    </row>
    <row r="26" spans="1:5" ht="14.25" customHeight="1">
      <c r="A26" s="56"/>
      <c r="B26" s="57"/>
      <c r="C26" s="57"/>
      <c r="D26" s="57"/>
      <c r="E26" s="58"/>
    </row>
    <row r="27" spans="1:5" ht="14.25" customHeight="1">
      <c r="A27" s="56"/>
      <c r="B27" s="57"/>
      <c r="C27" s="57"/>
      <c r="D27" s="57"/>
      <c r="E27" s="58"/>
    </row>
    <row r="28" spans="1:5" ht="14.25" customHeight="1">
      <c r="A28" s="56"/>
      <c r="B28" s="57"/>
      <c r="C28" s="57"/>
      <c r="D28" s="57"/>
      <c r="E28" s="58"/>
    </row>
    <row r="29" spans="1:5" ht="14.25" customHeight="1">
      <c r="A29" s="56"/>
      <c r="B29" s="57"/>
      <c r="C29" s="57"/>
      <c r="D29" s="57"/>
      <c r="E29" s="58"/>
    </row>
    <row r="30" spans="1:5" ht="14.25" customHeight="1">
      <c r="A30" s="56"/>
      <c r="B30" s="57"/>
      <c r="C30" s="57"/>
      <c r="D30" s="57"/>
      <c r="E30" s="58"/>
    </row>
    <row r="31" spans="1:5" ht="15" customHeight="1">
      <c r="A31" s="59"/>
      <c r="B31" s="60"/>
      <c r="C31" s="60"/>
      <c r="D31" s="60"/>
      <c r="E31" s="61"/>
    </row>
  </sheetData>
  <mergeCells count="3">
    <mergeCell ref="B3:D3"/>
    <mergeCell ref="B2:D2"/>
    <mergeCell ref="B4:D4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7"/>
  <dimension ref="A1:W72"/>
  <sheetViews>
    <sheetView topLeftCell="H1" zoomScaleNormal="100" workbookViewId="0">
      <selection activeCell="O7" sqref="O7"/>
    </sheetView>
  </sheetViews>
  <sheetFormatPr baseColWidth="10" defaultColWidth="8.6640625" defaultRowHeight="14.4"/>
  <cols>
    <col min="1" max="1" width="66.6640625" customWidth="1"/>
    <col min="2" max="2" width="1.6640625" customWidth="1"/>
    <col min="3" max="3" width="14.77734375" customWidth="1"/>
    <col min="4" max="4" width="1.44140625" customWidth="1"/>
    <col min="5" max="5" width="12.44140625" customWidth="1"/>
    <col min="6" max="6" width="1.44140625" customWidth="1"/>
    <col min="7" max="7" width="40.44140625" customWidth="1"/>
    <col min="8" max="8" width="1.33203125" customWidth="1"/>
    <col min="9" max="9" width="23.77734375" customWidth="1"/>
    <col min="10" max="10" width="1.33203125" customWidth="1"/>
    <col min="11" max="11" width="39.5546875" customWidth="1"/>
    <col min="12" max="12" width="2.21875" customWidth="1"/>
    <col min="13" max="13" width="24.5546875" customWidth="1"/>
    <col min="14" max="14" width="1.77734375" customWidth="1"/>
    <col min="15" max="15" width="52.109375" customWidth="1"/>
    <col min="16" max="16" width="2.44140625" customWidth="1"/>
    <col min="17" max="17" width="24.5546875" customWidth="1"/>
    <col min="18" max="18" width="3.77734375" customWidth="1"/>
    <col min="19" max="19" width="8" customWidth="1"/>
    <col min="21" max="21" width="24.109375" customWidth="1"/>
  </cols>
  <sheetData>
    <row r="1" spans="1:23" ht="15" customHeight="1">
      <c r="A1" s="140" t="s">
        <v>887</v>
      </c>
      <c r="B1" s="103"/>
      <c r="C1" s="140" t="s">
        <v>888</v>
      </c>
      <c r="D1" s="103"/>
      <c r="E1" s="140" t="s">
        <v>889</v>
      </c>
      <c r="G1" s="141" t="s">
        <v>890</v>
      </c>
      <c r="H1" s="103"/>
      <c r="I1" s="141" t="s">
        <v>891</v>
      </c>
      <c r="J1" s="103"/>
      <c r="K1" s="141" t="s">
        <v>892</v>
      </c>
      <c r="L1" s="103"/>
      <c r="M1" s="141" t="s">
        <v>891</v>
      </c>
      <c r="N1" s="103"/>
      <c r="O1" s="141" t="s">
        <v>893</v>
      </c>
      <c r="Q1" s="142" t="s">
        <v>894</v>
      </c>
      <c r="S1" s="143" t="s">
        <v>895</v>
      </c>
      <c r="U1" s="142" t="s">
        <v>896</v>
      </c>
      <c r="W1" t="s">
        <v>897</v>
      </c>
    </row>
    <row r="2" spans="1:23" ht="15" customHeight="1">
      <c r="A2" s="144" t="s">
        <v>898</v>
      </c>
      <c r="B2" s="103"/>
      <c r="C2" s="144" t="s">
        <v>196</v>
      </c>
      <c r="D2" s="103"/>
      <c r="E2" s="144" t="s">
        <v>239</v>
      </c>
      <c r="G2" s="145"/>
      <c r="H2" s="103"/>
      <c r="I2" s="145" t="s">
        <v>271</v>
      </c>
      <c r="J2" s="103"/>
      <c r="K2" s="145" t="s">
        <v>782</v>
      </c>
      <c r="L2" s="103"/>
      <c r="M2" s="145" t="s">
        <v>271</v>
      </c>
      <c r="N2" s="103"/>
      <c r="O2" s="146" t="s">
        <v>272</v>
      </c>
      <c r="Q2" s="147" t="s">
        <v>218</v>
      </c>
      <c r="S2" s="148" t="s">
        <v>513</v>
      </c>
      <c r="U2" s="149" t="s">
        <v>202</v>
      </c>
      <c r="W2" t="s">
        <v>408</v>
      </c>
    </row>
    <row r="3" spans="1:23" ht="15" customHeight="1">
      <c r="A3" s="144" t="s">
        <v>233</v>
      </c>
      <c r="B3" s="103"/>
      <c r="C3" s="144" t="s">
        <v>899</v>
      </c>
      <c r="D3" s="103"/>
      <c r="E3" s="144" t="s">
        <v>224</v>
      </c>
      <c r="G3" s="145"/>
      <c r="H3" s="103"/>
      <c r="I3" s="145" t="s">
        <v>230</v>
      </c>
      <c r="J3" s="103"/>
      <c r="K3" s="145" t="s">
        <v>333</v>
      </c>
      <c r="L3" s="103"/>
      <c r="M3" s="145" t="s">
        <v>230</v>
      </c>
      <c r="N3" s="103"/>
      <c r="O3" s="145" t="s">
        <v>326</v>
      </c>
      <c r="Q3" s="144" t="s">
        <v>9</v>
      </c>
      <c r="S3" s="148" t="s">
        <v>216</v>
      </c>
      <c r="U3" s="150" t="s">
        <v>492</v>
      </c>
      <c r="W3" t="s">
        <v>222</v>
      </c>
    </row>
    <row r="4" spans="1:23" ht="15" customHeight="1">
      <c r="A4" s="144" t="s">
        <v>325</v>
      </c>
      <c r="B4" s="103"/>
      <c r="C4" s="144" t="s">
        <v>900</v>
      </c>
      <c r="D4" s="103"/>
      <c r="E4" s="144" t="s">
        <v>196</v>
      </c>
      <c r="G4" s="145" t="s">
        <v>322</v>
      </c>
      <c r="H4" s="103"/>
      <c r="I4" s="145" t="s">
        <v>204</v>
      </c>
      <c r="J4" s="103"/>
      <c r="K4" s="145" t="s">
        <v>347</v>
      </c>
      <c r="L4" s="103"/>
      <c r="M4" s="145" t="s">
        <v>204</v>
      </c>
      <c r="N4" s="103"/>
      <c r="O4" s="145" t="s">
        <v>689</v>
      </c>
      <c r="S4" s="144" t="s">
        <v>901</v>
      </c>
      <c r="U4" s="150" t="s">
        <v>537</v>
      </c>
      <c r="W4" t="s">
        <v>355</v>
      </c>
    </row>
    <row r="5" spans="1:23" ht="15" customHeight="1">
      <c r="A5" s="144" t="s">
        <v>902</v>
      </c>
      <c r="B5" s="103"/>
      <c r="C5" s="144" t="s">
        <v>903</v>
      </c>
      <c r="D5" s="103"/>
      <c r="E5" s="144" t="s">
        <v>209</v>
      </c>
      <c r="G5" s="145" t="s">
        <v>904</v>
      </c>
      <c r="H5" s="103"/>
      <c r="I5" s="145" t="s">
        <v>340</v>
      </c>
      <c r="J5" s="103"/>
      <c r="K5" s="145" t="s">
        <v>535</v>
      </c>
      <c r="L5" s="103"/>
      <c r="M5" s="145" t="s">
        <v>340</v>
      </c>
      <c r="N5" s="103"/>
      <c r="O5" s="145" t="s">
        <v>9</v>
      </c>
      <c r="S5" s="144" t="s">
        <v>258</v>
      </c>
      <c r="U5" s="150" t="s">
        <v>650</v>
      </c>
      <c r="W5" t="s">
        <v>274</v>
      </c>
    </row>
    <row r="6" spans="1:23" ht="15" customHeight="1">
      <c r="A6" s="144" t="s">
        <v>905</v>
      </c>
      <c r="B6" s="103"/>
      <c r="C6" s="144" t="s">
        <v>906</v>
      </c>
      <c r="D6" s="103"/>
      <c r="E6" s="144" t="s">
        <v>907</v>
      </c>
      <c r="G6" s="145" t="s">
        <v>652</v>
      </c>
      <c r="H6" s="103"/>
      <c r="I6" s="145" t="s">
        <v>736</v>
      </c>
      <c r="J6" s="103"/>
      <c r="K6" s="145" t="s">
        <v>391</v>
      </c>
      <c r="L6" s="103"/>
      <c r="M6" s="145"/>
      <c r="N6" s="103"/>
      <c r="O6" s="145" t="s">
        <v>313</v>
      </c>
      <c r="U6" s="150"/>
      <c r="W6" t="s">
        <v>316</v>
      </c>
    </row>
    <row r="7" spans="1:23" ht="14.25" customHeight="1">
      <c r="A7" s="144" t="s">
        <v>282</v>
      </c>
      <c r="B7" s="103"/>
      <c r="C7" s="144" t="s">
        <v>328</v>
      </c>
      <c r="D7" s="103"/>
      <c r="E7" s="144" t="s">
        <v>574</v>
      </c>
      <c r="G7" s="145" t="s">
        <v>540</v>
      </c>
      <c r="H7" s="103"/>
      <c r="I7" t="s">
        <v>422</v>
      </c>
      <c r="J7" s="103"/>
      <c r="K7" s="145" t="s">
        <v>451</v>
      </c>
      <c r="L7" s="103"/>
      <c r="M7" s="145" t="s">
        <v>908</v>
      </c>
      <c r="N7" s="103"/>
      <c r="O7" s="145"/>
      <c r="U7" s="150"/>
      <c r="W7" t="s">
        <v>207</v>
      </c>
    </row>
    <row r="8" spans="1:23" ht="14.25" customHeight="1">
      <c r="A8" s="144" t="s">
        <v>545</v>
      </c>
      <c r="B8" s="103"/>
      <c r="C8" s="144"/>
      <c r="D8" s="103"/>
      <c r="E8" s="144" t="s">
        <v>306</v>
      </c>
      <c r="G8" s="145" t="s">
        <v>394</v>
      </c>
      <c r="H8" s="103"/>
      <c r="I8" s="103" t="s">
        <v>538</v>
      </c>
      <c r="J8" s="103"/>
      <c r="K8" s="145" t="s">
        <v>909</v>
      </c>
      <c r="L8" s="103"/>
      <c r="M8" s="145" t="s">
        <v>736</v>
      </c>
      <c r="N8" s="103"/>
      <c r="O8" s="145" t="s">
        <v>799</v>
      </c>
      <c r="U8" s="150"/>
      <c r="W8" t="s">
        <v>294</v>
      </c>
    </row>
    <row r="9" spans="1:23" ht="14.25" customHeight="1">
      <c r="A9" s="144" t="s">
        <v>363</v>
      </c>
      <c r="B9" s="103"/>
      <c r="C9" s="144" t="s">
        <v>910</v>
      </c>
      <c r="D9" s="103"/>
      <c r="E9" s="144" t="s">
        <v>911</v>
      </c>
      <c r="G9" s="145" t="s">
        <v>678</v>
      </c>
      <c r="H9" s="103"/>
      <c r="I9" s="103" t="s">
        <v>669</v>
      </c>
      <c r="J9" s="103"/>
      <c r="K9" s="145" t="s">
        <v>912</v>
      </c>
      <c r="L9" s="103"/>
      <c r="M9" s="145" t="s">
        <v>913</v>
      </c>
      <c r="N9" s="103"/>
      <c r="O9" s="145" t="s">
        <v>425</v>
      </c>
      <c r="U9" s="150"/>
      <c r="W9" t="s">
        <v>261</v>
      </c>
    </row>
    <row r="10" spans="1:23" ht="14.25" customHeight="1">
      <c r="A10" s="144" t="s">
        <v>914</v>
      </c>
      <c r="B10" s="103"/>
      <c r="C10" s="144" t="s">
        <v>915</v>
      </c>
      <c r="D10" s="103"/>
      <c r="E10" s="144" t="s">
        <v>447</v>
      </c>
      <c r="G10" s="145" t="s">
        <v>350</v>
      </c>
      <c r="H10" s="103"/>
      <c r="I10" s="103" t="s">
        <v>795</v>
      </c>
      <c r="J10" s="103"/>
      <c r="K10" s="145" t="s">
        <v>916</v>
      </c>
      <c r="L10" s="103"/>
      <c r="M10" s="145" t="s">
        <v>917</v>
      </c>
      <c r="N10" s="103"/>
      <c r="O10" s="145" t="s">
        <v>918</v>
      </c>
      <c r="U10" s="150"/>
      <c r="W10" t="s">
        <v>304</v>
      </c>
    </row>
    <row r="11" spans="1:23" ht="14.25" customHeight="1">
      <c r="A11" s="144" t="s">
        <v>668</v>
      </c>
      <c r="B11" s="103"/>
      <c r="C11" s="144" t="s">
        <v>919</v>
      </c>
      <c r="D11" s="103"/>
      <c r="E11" s="144" t="s">
        <v>458</v>
      </c>
      <c r="G11" s="145"/>
      <c r="H11" s="103"/>
      <c r="I11" s="103"/>
      <c r="J11" s="103"/>
      <c r="K11" s="145" t="s">
        <v>920</v>
      </c>
      <c r="L11" s="103"/>
      <c r="M11" s="145" t="s">
        <v>538</v>
      </c>
      <c r="N11" s="103"/>
      <c r="O11" s="145" t="s">
        <v>921</v>
      </c>
      <c r="U11" s="150"/>
      <c r="W11" t="s">
        <v>671</v>
      </c>
    </row>
    <row r="12" spans="1:23" ht="14.25" customHeight="1">
      <c r="A12" s="144" t="s">
        <v>466</v>
      </c>
      <c r="B12" s="103"/>
      <c r="C12" s="144" t="s">
        <v>922</v>
      </c>
      <c r="D12" s="103"/>
      <c r="E12" s="144" t="s">
        <v>478</v>
      </c>
      <c r="G12" s="145"/>
      <c r="H12" s="103"/>
      <c r="I12" s="103"/>
      <c r="J12" s="103"/>
      <c r="K12" s="145" t="s">
        <v>560</v>
      </c>
      <c r="L12" s="103"/>
      <c r="M12" s="145" t="s">
        <v>923</v>
      </c>
      <c r="N12" s="103"/>
      <c r="O12" s="145" t="s">
        <v>234</v>
      </c>
      <c r="U12" s="150"/>
      <c r="W12" t="s">
        <v>237</v>
      </c>
    </row>
    <row r="13" spans="1:23" ht="14.25" customHeight="1">
      <c r="A13" s="144" t="s">
        <v>924</v>
      </c>
      <c r="B13" s="103"/>
      <c r="C13" s="144" t="s">
        <v>925</v>
      </c>
      <c r="D13" s="103"/>
      <c r="E13" s="144" t="s">
        <v>926</v>
      </c>
      <c r="G13" s="145"/>
      <c r="H13" s="103"/>
      <c r="I13" s="103"/>
      <c r="J13" s="103"/>
      <c r="K13" s="145" t="s">
        <v>927</v>
      </c>
      <c r="L13" s="103"/>
      <c r="M13" s="145" t="s">
        <v>928</v>
      </c>
      <c r="N13" s="103"/>
      <c r="O13" s="145" t="s">
        <v>929</v>
      </c>
      <c r="U13" s="150"/>
    </row>
    <row r="14" spans="1:23" ht="14.25" customHeight="1">
      <c r="A14" s="144" t="s">
        <v>248</v>
      </c>
      <c r="B14" s="103"/>
      <c r="C14" s="144" t="s">
        <v>206</v>
      </c>
      <c r="D14" s="103"/>
      <c r="E14" s="133"/>
      <c r="G14" s="103"/>
      <c r="H14" s="103"/>
      <c r="I14" s="103"/>
      <c r="J14" s="103"/>
      <c r="K14" s="145" t="s">
        <v>930</v>
      </c>
      <c r="L14" s="103"/>
      <c r="M14" s="145" t="s">
        <v>931</v>
      </c>
      <c r="N14" s="103"/>
      <c r="O14" s="145" t="s">
        <v>932</v>
      </c>
      <c r="U14" s="150"/>
    </row>
    <row r="15" spans="1:23" ht="14.25" customHeight="1">
      <c r="A15" s="144" t="s">
        <v>571</v>
      </c>
      <c r="B15" s="103"/>
      <c r="C15" s="144" t="s">
        <v>372</v>
      </c>
      <c r="D15" s="103"/>
      <c r="E15" s="133"/>
      <c r="G15" s="103"/>
      <c r="H15" s="103"/>
      <c r="I15" s="103"/>
      <c r="J15" s="103"/>
      <c r="K15" s="145" t="s">
        <v>933</v>
      </c>
      <c r="L15" s="103"/>
      <c r="M15" s="145" t="s">
        <v>934</v>
      </c>
      <c r="N15" s="103"/>
      <c r="O15" s="145" t="s">
        <v>935</v>
      </c>
      <c r="U15" s="150"/>
    </row>
    <row r="16" spans="1:23" ht="14.25" customHeight="1">
      <c r="A16" s="144" t="s">
        <v>370</v>
      </c>
      <c r="B16" s="103"/>
      <c r="C16" s="144" t="s">
        <v>936</v>
      </c>
      <c r="D16" s="103"/>
      <c r="E16" s="133"/>
      <c r="G16" s="103"/>
      <c r="H16" s="103"/>
      <c r="I16" s="103"/>
      <c r="J16" s="103"/>
      <c r="K16" s="145" t="s">
        <v>741</v>
      </c>
      <c r="L16" s="103"/>
      <c r="M16" s="145" t="s">
        <v>937</v>
      </c>
      <c r="N16" s="103"/>
      <c r="O16" s="145" t="s">
        <v>938</v>
      </c>
      <c r="U16" s="150"/>
    </row>
    <row r="17" spans="1:21" ht="14.25" customHeight="1">
      <c r="A17" s="144" t="s">
        <v>939</v>
      </c>
      <c r="B17" s="103"/>
      <c r="C17" s="144" t="s">
        <v>940</v>
      </c>
      <c r="D17" s="103"/>
      <c r="E17" s="133"/>
      <c r="G17" s="103"/>
      <c r="H17" s="103"/>
      <c r="I17" s="103"/>
      <c r="J17" s="103"/>
      <c r="K17" s="145" t="s">
        <v>501</v>
      </c>
      <c r="L17" s="103"/>
      <c r="M17" s="145" t="s">
        <v>941</v>
      </c>
      <c r="N17" s="103"/>
      <c r="O17" s="145" t="s">
        <v>942</v>
      </c>
      <c r="U17" s="150"/>
    </row>
    <row r="18" spans="1:21" ht="14.25" customHeight="1">
      <c r="A18" s="144" t="s">
        <v>405</v>
      </c>
      <c r="B18" s="103"/>
      <c r="C18" s="144" t="s">
        <v>236</v>
      </c>
      <c r="D18" s="103"/>
      <c r="E18" s="133"/>
      <c r="G18" s="103"/>
      <c r="H18" s="103"/>
      <c r="I18" s="103"/>
      <c r="J18" s="103"/>
      <c r="K18" s="145" t="s">
        <v>943</v>
      </c>
      <c r="L18" s="103"/>
      <c r="M18" s="145" t="s">
        <v>944</v>
      </c>
      <c r="N18" s="103"/>
      <c r="O18" s="145" t="s">
        <v>945</v>
      </c>
      <c r="U18" s="150"/>
    </row>
    <row r="19" spans="1:21" ht="14.25" customHeight="1">
      <c r="A19" s="144" t="s">
        <v>217</v>
      </c>
      <c r="B19" s="103"/>
      <c r="C19" s="144" t="s">
        <v>946</v>
      </c>
      <c r="D19" s="103"/>
      <c r="E19" s="133"/>
      <c r="G19" s="103"/>
      <c r="H19" s="103"/>
      <c r="I19" s="103"/>
      <c r="J19" s="103"/>
      <c r="K19" s="145" t="s">
        <v>212</v>
      </c>
      <c r="L19" s="103"/>
      <c r="M19" t="s">
        <v>422</v>
      </c>
      <c r="N19" s="103"/>
      <c r="O19" s="145" t="s">
        <v>947</v>
      </c>
      <c r="U19" s="150"/>
    </row>
    <row r="20" spans="1:21" ht="14.25" customHeight="1">
      <c r="A20" s="144" t="s">
        <v>948</v>
      </c>
      <c r="B20" s="103"/>
      <c r="C20" s="144" t="s">
        <v>761</v>
      </c>
      <c r="D20" s="103"/>
      <c r="E20" s="133"/>
      <c r="G20" s="103"/>
      <c r="H20" s="103"/>
      <c r="I20" s="103"/>
      <c r="J20" s="103"/>
      <c r="K20" s="145" t="s">
        <v>949</v>
      </c>
      <c r="L20" s="103"/>
      <c r="N20" s="103"/>
      <c r="O20" s="145" t="s">
        <v>950</v>
      </c>
      <c r="U20" s="150"/>
    </row>
    <row r="21" spans="1:21" ht="14.25" customHeight="1">
      <c r="A21" s="144" t="s">
        <v>951</v>
      </c>
      <c r="B21" s="103"/>
      <c r="C21" s="144" t="s">
        <v>952</v>
      </c>
      <c r="D21" s="103"/>
      <c r="E21" s="133"/>
      <c r="G21" s="103"/>
      <c r="H21" s="103"/>
      <c r="I21" s="103"/>
      <c r="J21" s="103"/>
      <c r="K21" s="145" t="s">
        <v>953</v>
      </c>
      <c r="L21" s="103"/>
      <c r="N21" s="103"/>
      <c r="O21" s="145" t="s">
        <v>954</v>
      </c>
      <c r="U21" s="151"/>
    </row>
    <row r="22" spans="1:21" ht="14.25" customHeight="1">
      <c r="A22" s="144" t="s">
        <v>514</v>
      </c>
      <c r="B22" s="103"/>
      <c r="C22" s="144" t="s">
        <v>315</v>
      </c>
      <c r="D22" s="103"/>
      <c r="E22" s="133"/>
      <c r="G22" s="103"/>
      <c r="H22" s="103"/>
      <c r="I22" s="103"/>
      <c r="J22" s="103"/>
      <c r="K22" s="145" t="s">
        <v>955</v>
      </c>
      <c r="L22" s="103"/>
      <c r="N22" s="103"/>
      <c r="O22" s="145" t="s">
        <v>956</v>
      </c>
      <c r="U22" s="151"/>
    </row>
    <row r="23" spans="1:21" ht="14.25" customHeight="1">
      <c r="A23" s="144" t="s">
        <v>957</v>
      </c>
      <c r="B23" s="103"/>
      <c r="C23" s="144" t="s">
        <v>303</v>
      </c>
      <c r="D23" s="103"/>
      <c r="E23" s="133"/>
      <c r="G23" s="103"/>
      <c r="H23" s="103"/>
      <c r="I23" s="103"/>
      <c r="J23" s="103"/>
      <c r="K23" s="145" t="s">
        <v>625</v>
      </c>
      <c r="L23" s="103"/>
      <c r="N23" s="103"/>
      <c r="O23" s="145" t="s">
        <v>432</v>
      </c>
    </row>
    <row r="24" spans="1:21" ht="14.25" customHeight="1">
      <c r="A24" s="144" t="s">
        <v>958</v>
      </c>
      <c r="B24" s="103"/>
      <c r="C24" s="144" t="s">
        <v>959</v>
      </c>
      <c r="D24" s="103"/>
      <c r="E24" s="133"/>
      <c r="G24" s="103"/>
      <c r="H24" s="103"/>
      <c r="I24" s="103"/>
      <c r="J24" s="103"/>
      <c r="K24" s="145" t="s">
        <v>960</v>
      </c>
      <c r="L24" s="103"/>
      <c r="N24" s="103"/>
      <c r="O24" s="145" t="s">
        <v>440</v>
      </c>
    </row>
    <row r="25" spans="1:21" ht="14.25" customHeight="1">
      <c r="A25" s="133" t="s">
        <v>445</v>
      </c>
      <c r="B25" s="103"/>
      <c r="C25" s="144" t="s">
        <v>961</v>
      </c>
      <c r="D25" s="103"/>
      <c r="E25" s="133"/>
      <c r="G25" s="103"/>
      <c r="H25" s="103"/>
      <c r="I25" s="103"/>
      <c r="J25" s="103"/>
      <c r="K25" s="145" t="s">
        <v>962</v>
      </c>
      <c r="L25" s="103"/>
      <c r="N25" s="103"/>
      <c r="O25" s="145" t="s">
        <v>963</v>
      </c>
    </row>
    <row r="26" spans="1:21" ht="14.25" customHeight="1">
      <c r="A26" s="133"/>
      <c r="B26" s="103"/>
      <c r="C26" s="144" t="s">
        <v>964</v>
      </c>
      <c r="D26" s="103"/>
      <c r="E26" s="133"/>
      <c r="G26" s="133"/>
      <c r="H26" s="103"/>
      <c r="I26" s="103"/>
      <c r="J26" s="103"/>
      <c r="K26" s="145" t="s">
        <v>965</v>
      </c>
      <c r="L26" s="103"/>
      <c r="N26" s="103"/>
      <c r="O26" s="145" t="s">
        <v>966</v>
      </c>
    </row>
    <row r="27" spans="1:21" ht="14.25" customHeight="1">
      <c r="A27" s="133"/>
      <c r="B27" s="103"/>
      <c r="C27" s="144" t="s">
        <v>967</v>
      </c>
      <c r="D27" s="103"/>
      <c r="E27" s="133"/>
      <c r="G27" s="133"/>
      <c r="H27" s="103"/>
      <c r="I27" s="103"/>
      <c r="J27" s="103"/>
      <c r="K27" s="145" t="s">
        <v>968</v>
      </c>
      <c r="L27" s="103"/>
      <c r="N27" s="103"/>
      <c r="O27" s="145" t="s">
        <v>969</v>
      </c>
    </row>
    <row r="28" spans="1:21" ht="14.25" customHeight="1">
      <c r="A28" s="133"/>
      <c r="B28" s="103"/>
      <c r="C28" s="144" t="s">
        <v>790</v>
      </c>
      <c r="D28" s="103"/>
      <c r="E28" s="133"/>
      <c r="G28" s="133"/>
      <c r="H28" s="103"/>
      <c r="I28" s="103"/>
      <c r="J28" s="103"/>
      <c r="K28" s="145" t="s">
        <v>970</v>
      </c>
      <c r="L28" s="103"/>
      <c r="N28" s="103"/>
      <c r="O28" s="145" t="s">
        <v>971</v>
      </c>
    </row>
    <row r="29" spans="1:21" ht="14.25" customHeight="1">
      <c r="A29" s="133"/>
      <c r="B29" s="103"/>
      <c r="C29" s="144" t="s">
        <v>342</v>
      </c>
      <c r="D29" s="103"/>
      <c r="E29" s="133"/>
      <c r="G29" s="133"/>
      <c r="H29" s="103"/>
      <c r="I29" s="103"/>
      <c r="J29" s="103"/>
      <c r="K29" s="145" t="s">
        <v>972</v>
      </c>
      <c r="L29" s="103"/>
      <c r="N29" s="103"/>
      <c r="O29" s="145" t="s">
        <v>973</v>
      </c>
    </row>
    <row r="30" spans="1:21" ht="14.25" customHeight="1">
      <c r="A30" s="133"/>
      <c r="B30" s="103"/>
      <c r="C30" s="144" t="s">
        <v>458</v>
      </c>
      <c r="D30" s="103"/>
      <c r="E30" s="133"/>
      <c r="G30" s="133"/>
      <c r="H30" s="103"/>
      <c r="I30" s="103"/>
      <c r="J30" s="103"/>
      <c r="K30" s="145" t="s">
        <v>974</v>
      </c>
      <c r="L30" s="103"/>
      <c r="N30" s="103"/>
      <c r="O30" s="145" t="s">
        <v>975</v>
      </c>
    </row>
    <row r="31" spans="1:21" ht="14.25" customHeight="1">
      <c r="A31" s="133"/>
      <c r="B31" s="103"/>
      <c r="C31" s="144" t="s">
        <v>976</v>
      </c>
      <c r="D31" s="103"/>
      <c r="E31" s="133"/>
      <c r="G31" s="133"/>
      <c r="H31" s="103"/>
      <c r="I31" s="103"/>
      <c r="J31" s="103"/>
      <c r="K31" s="145" t="s">
        <v>977</v>
      </c>
      <c r="L31" s="103"/>
      <c r="N31" s="103"/>
      <c r="O31" s="145"/>
    </row>
    <row r="32" spans="1:21" ht="14.25" customHeight="1">
      <c r="A32" s="133"/>
      <c r="B32" s="103"/>
      <c r="C32" s="144" t="s">
        <v>478</v>
      </c>
      <c r="D32" s="103"/>
      <c r="E32" s="133"/>
      <c r="G32" s="133"/>
      <c r="H32" s="103"/>
      <c r="I32" s="103"/>
      <c r="J32" s="103"/>
      <c r="K32" s="145" t="s">
        <v>978</v>
      </c>
      <c r="L32" s="103"/>
      <c r="N32" s="103"/>
      <c r="O32" s="145" t="s">
        <v>353</v>
      </c>
    </row>
    <row r="33" spans="1:15" ht="14.25" customHeight="1">
      <c r="A33" s="133"/>
      <c r="B33" s="103"/>
      <c r="C33" s="144" t="s">
        <v>260</v>
      </c>
      <c r="D33" s="103"/>
      <c r="E33" s="133"/>
      <c r="G33" s="133"/>
      <c r="H33" s="103"/>
      <c r="I33" s="103"/>
      <c r="J33" s="103"/>
      <c r="K33" s="145" t="s">
        <v>979</v>
      </c>
      <c r="L33" s="103"/>
      <c r="N33" s="103"/>
      <c r="O33" s="145" t="s">
        <v>980</v>
      </c>
    </row>
    <row r="34" spans="1:15" ht="14.25" customHeight="1">
      <c r="A34" s="133"/>
      <c r="B34" s="103"/>
      <c r="C34" s="144" t="s">
        <v>981</v>
      </c>
      <c r="D34" s="103"/>
      <c r="E34" s="133"/>
      <c r="G34" s="133"/>
      <c r="H34" s="103"/>
      <c r="I34" s="103"/>
      <c r="J34" s="103"/>
      <c r="K34" s="145" t="s">
        <v>982</v>
      </c>
      <c r="L34" s="103"/>
      <c r="N34" s="103"/>
      <c r="O34" s="145" t="s">
        <v>983</v>
      </c>
    </row>
    <row r="35" spans="1:15" ht="14.25" customHeight="1">
      <c r="A35" s="133"/>
      <c r="B35" s="103"/>
      <c r="C35" s="144" t="s">
        <v>194</v>
      </c>
      <c r="D35" s="103"/>
      <c r="E35" s="133"/>
      <c r="G35" s="133"/>
      <c r="H35" s="103"/>
      <c r="I35" s="103"/>
      <c r="J35" s="103"/>
      <c r="K35" s="145" t="s">
        <v>984</v>
      </c>
      <c r="L35" s="103"/>
      <c r="N35" s="103"/>
      <c r="O35" s="145" t="s">
        <v>985</v>
      </c>
    </row>
    <row r="36" spans="1:15" ht="14.25" customHeight="1">
      <c r="A36" s="133"/>
      <c r="B36" s="103"/>
      <c r="C36" s="144" t="s">
        <v>986</v>
      </c>
      <c r="D36" s="103"/>
      <c r="E36" s="133"/>
      <c r="G36" s="133"/>
      <c r="H36" s="103"/>
      <c r="I36" s="103"/>
      <c r="J36" s="103"/>
      <c r="K36" s="145" t="s">
        <v>987</v>
      </c>
      <c r="L36" s="103"/>
      <c r="N36" s="103"/>
      <c r="O36" s="145" t="s">
        <v>988</v>
      </c>
    </row>
    <row r="37" spans="1:15" ht="14.25" customHeight="1">
      <c r="A37" s="133"/>
      <c r="B37" s="103"/>
      <c r="C37" s="144" t="s">
        <v>407</v>
      </c>
      <c r="D37" s="103"/>
      <c r="E37" s="133"/>
      <c r="G37" s="133"/>
      <c r="H37" s="103"/>
      <c r="I37" s="103"/>
      <c r="J37" s="103"/>
      <c r="K37" s="145" t="s">
        <v>989</v>
      </c>
      <c r="L37" s="103"/>
      <c r="N37" s="103"/>
      <c r="O37" s="145" t="s">
        <v>629</v>
      </c>
    </row>
    <row r="38" spans="1:15" ht="14.25" customHeight="1">
      <c r="A38" s="133"/>
      <c r="B38" s="103"/>
      <c r="C38" s="144" t="s">
        <v>456</v>
      </c>
      <c r="D38" s="103"/>
      <c r="E38" s="133"/>
      <c r="G38" s="133"/>
      <c r="H38" s="103"/>
      <c r="I38" s="103"/>
      <c r="J38" s="103"/>
      <c r="K38" s="145" t="s">
        <v>990</v>
      </c>
      <c r="L38" s="103"/>
      <c r="N38" s="103"/>
      <c r="O38" t="s">
        <v>610</v>
      </c>
    </row>
    <row r="39" spans="1:15" ht="14.25" customHeight="1">
      <c r="A39" s="133"/>
      <c r="B39" s="103"/>
      <c r="C39" s="133" t="s">
        <v>661</v>
      </c>
      <c r="D39" s="103"/>
      <c r="E39" s="133"/>
      <c r="G39" s="133"/>
      <c r="H39" s="103"/>
      <c r="I39" s="103"/>
      <c r="J39" s="103"/>
      <c r="K39" s="145" t="s">
        <v>991</v>
      </c>
      <c r="L39" s="103"/>
      <c r="N39" s="103"/>
      <c r="O39" t="s">
        <v>219</v>
      </c>
    </row>
    <row r="40" spans="1:15" ht="14.25" customHeight="1">
      <c r="A40" s="133"/>
      <c r="B40" s="103"/>
      <c r="C40" s="133" t="s">
        <v>680</v>
      </c>
      <c r="D40" s="103"/>
      <c r="E40" s="133"/>
      <c r="G40" s="133"/>
      <c r="H40" s="103"/>
      <c r="I40" s="103"/>
      <c r="J40" s="103"/>
      <c r="K40" s="145" t="s">
        <v>992</v>
      </c>
      <c r="L40" s="103"/>
      <c r="N40" s="103"/>
      <c r="O40" t="s">
        <v>385</v>
      </c>
    </row>
    <row r="41" spans="1:15" ht="14.25" customHeight="1">
      <c r="A41" s="133"/>
      <c r="B41" s="103"/>
      <c r="C41" s="133"/>
      <c r="D41" s="103"/>
      <c r="E41" s="133"/>
      <c r="G41" s="133"/>
      <c r="H41" s="103"/>
      <c r="I41" s="103"/>
      <c r="J41" s="103"/>
      <c r="K41" s="145" t="s">
        <v>993</v>
      </c>
      <c r="L41" s="103"/>
      <c r="N41" s="103"/>
      <c r="O41" t="s">
        <v>396</v>
      </c>
    </row>
    <row r="42" spans="1:15" ht="14.25" customHeight="1">
      <c r="A42" s="133"/>
      <c r="B42" s="103"/>
      <c r="C42" s="133"/>
      <c r="D42" s="103"/>
      <c r="E42" s="133"/>
      <c r="G42" s="133"/>
      <c r="H42" s="103"/>
      <c r="I42" s="103"/>
      <c r="J42" s="103"/>
      <c r="K42" s="145" t="s">
        <v>665</v>
      </c>
      <c r="L42" s="103"/>
      <c r="N42" s="103"/>
    </row>
    <row r="43" spans="1:15" ht="14.25" customHeight="1">
      <c r="A43" s="133"/>
      <c r="B43" s="103"/>
      <c r="C43" s="133"/>
      <c r="D43" s="103"/>
      <c r="E43" s="133"/>
      <c r="G43" s="133"/>
      <c r="H43" s="103"/>
      <c r="I43" s="103"/>
      <c r="J43" s="103"/>
      <c r="K43" s="145" t="s">
        <v>994</v>
      </c>
      <c r="L43" s="103"/>
      <c r="N43" s="103"/>
    </row>
    <row r="44" spans="1:15" ht="14.25" customHeight="1">
      <c r="A44" s="133"/>
      <c r="B44" s="103"/>
      <c r="C44" s="133"/>
      <c r="D44" s="103"/>
      <c r="E44" s="133"/>
      <c r="G44" s="133"/>
      <c r="H44" s="103"/>
      <c r="I44" s="103"/>
      <c r="J44" s="103"/>
      <c r="K44" s="145" t="s">
        <v>359</v>
      </c>
      <c r="L44" s="103"/>
      <c r="N44" s="103"/>
    </row>
    <row r="45" spans="1:15" ht="14.25" customHeight="1">
      <c r="A45" s="133"/>
      <c r="B45" s="103"/>
      <c r="C45" s="133"/>
      <c r="D45" s="103"/>
      <c r="E45" s="133"/>
      <c r="G45" s="133"/>
      <c r="H45" s="103"/>
      <c r="I45" s="103"/>
      <c r="J45" s="103"/>
      <c r="K45" s="145" t="s">
        <v>995</v>
      </c>
      <c r="L45" s="103"/>
      <c r="N45" s="103"/>
    </row>
    <row r="46" spans="1:15" ht="14.25" customHeight="1">
      <c r="A46" s="133"/>
      <c r="B46" s="103"/>
      <c r="C46" s="133"/>
      <c r="D46" s="103"/>
      <c r="E46" s="133"/>
      <c r="G46" s="133"/>
      <c r="H46" s="103"/>
      <c r="I46" s="103"/>
      <c r="J46" s="103"/>
      <c r="K46" s="145" t="s">
        <v>996</v>
      </c>
      <c r="L46" s="103"/>
      <c r="N46" s="103"/>
    </row>
    <row r="47" spans="1:15" ht="14.25" customHeight="1">
      <c r="A47" s="133"/>
      <c r="B47" s="103"/>
      <c r="C47" s="133"/>
      <c r="D47" s="103"/>
      <c r="E47" s="133"/>
      <c r="G47" s="133"/>
      <c r="H47" s="103"/>
      <c r="I47" s="103"/>
      <c r="J47" s="103"/>
      <c r="K47" s="145" t="s">
        <v>997</v>
      </c>
      <c r="L47" s="103"/>
      <c r="N47" s="103"/>
    </row>
    <row r="48" spans="1:15" ht="14.25" customHeight="1">
      <c r="A48" s="133"/>
      <c r="B48" s="103"/>
      <c r="C48" s="133"/>
      <c r="D48" s="103"/>
      <c r="E48" s="133"/>
      <c r="G48" s="133"/>
      <c r="H48" s="103"/>
      <c r="I48" s="103"/>
      <c r="J48" s="103"/>
      <c r="K48" s="145" t="s">
        <v>998</v>
      </c>
      <c r="L48" s="103"/>
      <c r="N48" s="103"/>
    </row>
    <row r="49" spans="1:14" ht="14.25" customHeight="1">
      <c r="A49" s="133"/>
      <c r="B49" s="103"/>
      <c r="C49" s="133"/>
      <c r="D49" s="103"/>
      <c r="E49" s="133"/>
      <c r="G49" s="133"/>
      <c r="H49" s="103"/>
      <c r="I49" s="103"/>
      <c r="J49" s="103"/>
      <c r="K49" s="145" t="s">
        <v>999</v>
      </c>
      <c r="L49" s="103"/>
      <c r="N49" s="103"/>
    </row>
    <row r="50" spans="1:14" ht="14.25" customHeight="1">
      <c r="A50" s="133"/>
      <c r="B50" s="103"/>
      <c r="C50" s="133"/>
      <c r="D50" s="103"/>
      <c r="E50" s="133"/>
      <c r="G50" s="133"/>
      <c r="H50" s="103"/>
      <c r="I50" s="103"/>
      <c r="J50" s="103"/>
      <c r="K50" s="145" t="s">
        <v>1000</v>
      </c>
      <c r="L50" s="103"/>
      <c r="N50" s="103"/>
    </row>
    <row r="51" spans="1:14" ht="14.25" customHeight="1">
      <c r="A51" s="133"/>
      <c r="B51" s="103"/>
      <c r="C51" s="133"/>
      <c r="D51" s="103"/>
      <c r="E51" s="133"/>
      <c r="G51" s="133"/>
      <c r="H51" s="103"/>
      <c r="I51" s="103"/>
      <c r="J51" s="103"/>
      <c r="K51" s="145" t="s">
        <v>707</v>
      </c>
      <c r="L51" s="103"/>
      <c r="N51" s="103"/>
    </row>
    <row r="52" spans="1:14" ht="14.25" customHeight="1">
      <c r="A52" s="133"/>
      <c r="B52" s="103"/>
      <c r="C52" s="133"/>
      <c r="D52" s="103"/>
      <c r="E52" s="133"/>
      <c r="G52" s="133"/>
      <c r="H52" s="103"/>
      <c r="I52" s="103"/>
      <c r="J52" s="103"/>
      <c r="K52" s="145" t="s">
        <v>228</v>
      </c>
      <c r="L52" s="103"/>
      <c r="N52" s="103"/>
    </row>
    <row r="53" spans="1:14" ht="14.25" customHeight="1">
      <c r="A53" s="133"/>
      <c r="B53" s="103"/>
      <c r="C53" s="133"/>
      <c r="D53" s="103"/>
      <c r="E53" s="133"/>
      <c r="G53" s="133"/>
      <c r="H53" s="103"/>
      <c r="I53" s="103"/>
      <c r="J53" s="103"/>
      <c r="K53" s="145" t="s">
        <v>1001</v>
      </c>
      <c r="L53" s="103"/>
      <c r="N53" s="103"/>
    </row>
    <row r="54" spans="1:14" ht="14.25" customHeight="1">
      <c r="A54" s="133"/>
      <c r="B54" s="103"/>
      <c r="C54" s="133"/>
      <c r="D54" s="103"/>
      <c r="E54" s="133"/>
      <c r="G54" s="133"/>
      <c r="H54" s="103"/>
      <c r="I54" s="103"/>
      <c r="J54" s="103"/>
      <c r="K54" s="145" t="s">
        <v>1002</v>
      </c>
      <c r="L54" s="103"/>
      <c r="N54" s="103"/>
    </row>
    <row r="55" spans="1:14" ht="14.25" customHeight="1">
      <c r="A55" s="133"/>
      <c r="B55" s="103"/>
      <c r="C55" s="133"/>
      <c r="D55" s="103"/>
      <c r="E55" s="133"/>
      <c r="G55" s="133"/>
      <c r="H55" s="103"/>
      <c r="I55" s="103"/>
      <c r="J55" s="103"/>
      <c r="K55" s="145" t="s">
        <v>1003</v>
      </c>
      <c r="L55" s="103"/>
      <c r="N55" s="103"/>
    </row>
    <row r="56" spans="1:14" ht="14.25" customHeight="1">
      <c r="A56" s="133"/>
      <c r="B56" s="103"/>
      <c r="C56" s="133"/>
      <c r="D56" s="103"/>
      <c r="E56" s="133"/>
      <c r="G56" s="133"/>
      <c r="H56" s="103"/>
      <c r="I56" s="103"/>
      <c r="J56" s="103"/>
      <c r="K56" s="145" t="s">
        <v>1004</v>
      </c>
      <c r="L56" s="103"/>
      <c r="N56" s="103"/>
    </row>
    <row r="57" spans="1:14" ht="14.25" customHeight="1">
      <c r="A57" s="133"/>
      <c r="B57" s="103"/>
      <c r="C57" s="133"/>
      <c r="D57" s="103"/>
      <c r="E57" s="133"/>
      <c r="G57" s="133"/>
      <c r="H57" s="103"/>
      <c r="I57" s="103"/>
      <c r="J57" s="103"/>
      <c r="K57" s="145" t="s">
        <v>1005</v>
      </c>
      <c r="L57" s="103"/>
      <c r="N57" s="103"/>
    </row>
    <row r="58" spans="1:14" ht="14.25" customHeight="1">
      <c r="A58" s="133"/>
      <c r="B58" s="103"/>
      <c r="C58" s="133"/>
      <c r="D58" s="103"/>
      <c r="E58" s="133"/>
      <c r="G58" s="133"/>
      <c r="H58" s="103"/>
      <c r="I58" s="103"/>
      <c r="J58" s="103"/>
      <c r="K58" s="145" t="s">
        <v>1006</v>
      </c>
      <c r="L58" s="103"/>
      <c r="N58" s="103"/>
    </row>
    <row r="59" spans="1:14" ht="14.25" customHeight="1">
      <c r="A59" s="133"/>
      <c r="B59" s="103"/>
      <c r="C59" s="133"/>
      <c r="D59" s="103"/>
      <c r="E59" s="133"/>
      <c r="G59" s="133"/>
      <c r="H59" s="103"/>
      <c r="I59" s="103"/>
      <c r="J59" s="103"/>
      <c r="K59" s="145" t="s">
        <v>1007</v>
      </c>
      <c r="L59" s="103"/>
      <c r="N59" s="103"/>
    </row>
    <row r="60" spans="1:14" ht="14.25" customHeight="1">
      <c r="A60" s="133"/>
      <c r="B60" s="103"/>
      <c r="C60" s="133"/>
      <c r="D60" s="103"/>
      <c r="E60" s="133"/>
      <c r="G60" s="133"/>
      <c r="H60" s="103"/>
      <c r="I60" s="103"/>
      <c r="J60" s="103"/>
      <c r="K60" s="145" t="s">
        <v>1008</v>
      </c>
      <c r="L60" s="103"/>
      <c r="N60" s="103"/>
    </row>
    <row r="61" spans="1:14" ht="14.25" customHeight="1">
      <c r="A61" s="133"/>
      <c r="B61" s="103"/>
      <c r="C61" s="133"/>
      <c r="D61" s="103"/>
      <c r="E61" s="133"/>
      <c r="G61" s="133"/>
      <c r="H61" s="103"/>
      <c r="I61" s="103"/>
      <c r="J61" s="103"/>
      <c r="K61" s="145" t="s">
        <v>1009</v>
      </c>
      <c r="L61" s="103"/>
      <c r="N61" s="103"/>
    </row>
    <row r="62" spans="1:14" ht="14.25" customHeight="1">
      <c r="A62" s="133"/>
      <c r="B62" s="103"/>
      <c r="C62" s="133"/>
      <c r="D62" s="103"/>
      <c r="E62" s="133"/>
      <c r="G62" s="133"/>
      <c r="H62" s="103"/>
      <c r="I62" s="103"/>
      <c r="J62" s="103"/>
      <c r="K62" s="133" t="s">
        <v>212</v>
      </c>
      <c r="L62" s="103"/>
      <c r="N62" s="103"/>
    </row>
    <row r="63" spans="1:14" ht="14.25" customHeight="1">
      <c r="A63" s="133"/>
      <c r="B63" s="103"/>
      <c r="C63" s="133"/>
      <c r="D63" s="103"/>
      <c r="E63" s="133"/>
      <c r="G63" s="133"/>
      <c r="H63" s="103"/>
      <c r="I63" s="103"/>
      <c r="J63" s="103"/>
      <c r="K63" s="133" t="s">
        <v>578</v>
      </c>
      <c r="L63" s="103"/>
      <c r="N63" s="103"/>
    </row>
    <row r="64" spans="1:14" ht="14.25" customHeight="1">
      <c r="A64" s="133"/>
      <c r="B64" s="103"/>
      <c r="C64" s="133"/>
      <c r="D64" s="103"/>
      <c r="E64" s="133"/>
      <c r="G64" s="133"/>
      <c r="H64" s="103"/>
      <c r="I64" s="103"/>
      <c r="J64" s="103"/>
      <c r="K64" s="133" t="s">
        <v>402</v>
      </c>
      <c r="L64" s="103"/>
      <c r="N64" s="103"/>
    </row>
    <row r="65" spans="1:14" ht="14.25" customHeight="1">
      <c r="A65" s="133"/>
      <c r="B65" s="103"/>
      <c r="C65" s="133"/>
      <c r="D65" s="103"/>
      <c r="E65" s="133"/>
      <c r="G65" s="133"/>
      <c r="H65" s="103"/>
      <c r="I65" s="103"/>
      <c r="J65" s="103"/>
      <c r="K65" t="s">
        <v>420</v>
      </c>
      <c r="L65" s="103"/>
      <c r="N65" s="103"/>
    </row>
    <row r="66" spans="1:14" ht="14.25" customHeight="1">
      <c r="A66" s="133"/>
      <c r="B66" s="103"/>
      <c r="C66" s="133"/>
      <c r="D66" s="103"/>
      <c r="E66" s="133"/>
      <c r="G66" s="133"/>
      <c r="H66" s="103"/>
      <c r="I66" s="103"/>
      <c r="J66" s="103"/>
      <c r="K66" s="133" t="s">
        <v>413</v>
      </c>
      <c r="L66" s="103"/>
      <c r="N66" s="103"/>
    </row>
    <row r="67" spans="1:14" ht="14.25" customHeight="1">
      <c r="A67" s="133"/>
      <c r="B67" s="103"/>
      <c r="C67" s="133"/>
      <c r="D67" s="103"/>
      <c r="E67" s="133"/>
      <c r="G67" s="133"/>
      <c r="H67" s="103"/>
      <c r="I67" s="103"/>
      <c r="J67" s="103"/>
      <c r="K67" s="133" t="s">
        <v>472</v>
      </c>
      <c r="L67" s="103"/>
      <c r="N67" s="103"/>
    </row>
    <row r="68" spans="1:14" ht="14.25" customHeight="1">
      <c r="K68" s="133" t="s">
        <v>648</v>
      </c>
    </row>
    <row r="69" spans="1:14" ht="14.25" customHeight="1">
      <c r="K69" t="s">
        <v>699</v>
      </c>
    </row>
    <row r="70" spans="1:14">
      <c r="K70" s="133" t="s">
        <v>732</v>
      </c>
    </row>
    <row r="71" spans="1:14">
      <c r="K71" s="133" t="s">
        <v>1010</v>
      </c>
    </row>
    <row r="72" spans="1:14">
      <c r="K72" s="133" t="s">
        <v>757</v>
      </c>
    </row>
  </sheetData>
  <dataValidations count="3">
    <dataValidation type="list" allowBlank="1" showInputMessage="1" showErrorMessage="1" sqref="I6 M2:M18" xr:uid="{00000000-0002-0000-0500-000000000000}">
      <formula1>$AU$1:$AU$9</formula1>
      <formula2>0</formula2>
    </dataValidation>
    <dataValidation type="list" allowBlank="1" showInputMessage="1" showErrorMessage="1" sqref="G2" xr:uid="{00000000-0002-0000-0500-000001000000}">
      <formula1>$AS$2:$AS$17</formula1>
      <formula2>0</formula2>
    </dataValidation>
    <dataValidation allowBlank="1" showInputMessage="1" sqref="O42 U7" xr:uid="{00000000-0002-0000-0500-000002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/>
  <dimension ref="A1:AS150"/>
  <sheetViews>
    <sheetView zoomScaleNormal="100" workbookViewId="0">
      <pane ySplit="1" topLeftCell="A2" activePane="bottomLeft" state="frozen"/>
      <selection pane="bottomLeft" sqref="A1:AH1"/>
    </sheetView>
  </sheetViews>
  <sheetFormatPr baseColWidth="10" defaultColWidth="8.6640625" defaultRowHeight="14.4"/>
  <cols>
    <col min="1" max="1" width="11.44140625" customWidth="1"/>
    <col min="3" max="3" width="19.44140625" customWidth="1"/>
    <col min="4" max="4" width="15.44140625" customWidth="1"/>
    <col min="7" max="7" width="24.6640625" customWidth="1"/>
    <col min="8" max="8" width="18" customWidth="1"/>
    <col min="9" max="9" width="11.6640625" customWidth="1"/>
    <col min="10" max="10" width="15.88671875" customWidth="1"/>
    <col min="11" max="11" width="27.109375" customWidth="1"/>
    <col min="12" max="12" width="24.5546875" customWidth="1"/>
    <col min="13" max="13" width="26.44140625" customWidth="1"/>
    <col min="14" max="14" width="39.33203125" customWidth="1"/>
    <col min="15" max="15" width="39.109375" customWidth="1"/>
    <col min="16" max="16" width="42.5546875" customWidth="1"/>
    <col min="17" max="17" width="26.6640625" customWidth="1"/>
    <col min="18" max="18" width="12.88671875" customWidth="1"/>
    <col min="19" max="19" width="27.109375" customWidth="1"/>
    <col min="20" max="20" width="43.109375" customWidth="1"/>
    <col min="21" max="21" width="17.109375" customWidth="1"/>
    <col min="22" max="22" width="40" customWidth="1"/>
    <col min="23" max="23" width="40.6640625" customWidth="1"/>
    <col min="24" max="24" width="44" customWidth="1"/>
    <col min="25" max="25" width="25.6640625" customWidth="1"/>
    <col min="26" max="26" width="22.6640625" customWidth="1"/>
    <col min="27" max="27" width="15.6640625" customWidth="1"/>
    <col min="28" max="28" width="17.6640625" customWidth="1"/>
    <col min="29" max="29" width="14.44140625" customWidth="1"/>
    <col min="30" max="30" width="37.109375" customWidth="1"/>
    <col min="31" max="31" width="19.5546875" customWidth="1"/>
    <col min="32" max="32" width="20.88671875" customWidth="1"/>
    <col min="33" max="33" width="17.88671875" customWidth="1"/>
    <col min="34" max="34" width="19.44140625" customWidth="1"/>
    <col min="35" max="35" width="26.109375" customWidth="1"/>
    <col min="36" max="36" width="24" customWidth="1"/>
    <col min="38" max="38" width="55" customWidth="1"/>
    <col min="39" max="39" width="11.44140625" customWidth="1"/>
  </cols>
  <sheetData>
    <row r="1" spans="1:45" ht="15" customHeight="1">
      <c r="A1" s="299" t="s">
        <v>138</v>
      </c>
      <c r="B1" s="260"/>
      <c r="C1" s="260"/>
      <c r="D1" s="260"/>
      <c r="E1" s="260"/>
      <c r="F1" s="260"/>
      <c r="G1" s="260"/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  <c r="Y1" s="260"/>
      <c r="Z1" s="260"/>
      <c r="AA1" s="260"/>
      <c r="AB1" s="260"/>
      <c r="AC1" s="260"/>
      <c r="AD1" s="260"/>
      <c r="AE1" s="260"/>
      <c r="AF1" s="260"/>
      <c r="AG1" s="260"/>
      <c r="AH1" s="260"/>
    </row>
    <row r="2" spans="1:45" ht="15" customHeight="1">
      <c r="A2" s="299" t="s">
        <v>139</v>
      </c>
      <c r="B2" s="260"/>
      <c r="C2" s="260"/>
      <c r="D2" s="260"/>
      <c r="E2" s="260"/>
      <c r="F2" s="260"/>
      <c r="G2" s="260"/>
      <c r="H2" s="260"/>
      <c r="I2" s="260"/>
      <c r="J2" s="260"/>
      <c r="K2" s="260"/>
      <c r="L2" s="260"/>
      <c r="M2" s="260"/>
      <c r="N2" s="260"/>
      <c r="O2" s="260"/>
      <c r="P2" s="260"/>
      <c r="Q2" s="260"/>
      <c r="R2" s="260"/>
      <c r="S2" s="260"/>
      <c r="T2" s="260"/>
      <c r="U2" s="260"/>
      <c r="V2" s="260"/>
      <c r="W2" s="260"/>
      <c r="X2" s="260"/>
      <c r="Y2" s="260"/>
      <c r="Z2" s="260"/>
      <c r="AA2" s="260"/>
      <c r="AB2" s="260"/>
      <c r="AC2" s="260"/>
      <c r="AD2" s="260"/>
      <c r="AE2" s="260"/>
      <c r="AF2" s="260"/>
      <c r="AG2" s="260"/>
      <c r="AH2" s="260"/>
    </row>
    <row r="3" spans="1:45" ht="15" customHeight="1">
      <c r="A3" s="299" t="s">
        <v>1011</v>
      </c>
      <c r="B3" s="260"/>
      <c r="C3" s="260"/>
      <c r="D3" s="260"/>
      <c r="E3" s="260"/>
      <c r="F3" s="260"/>
      <c r="G3" s="260"/>
      <c r="H3" s="260"/>
      <c r="I3" s="260"/>
      <c r="J3" s="260"/>
      <c r="K3" s="260"/>
      <c r="L3" s="260"/>
      <c r="M3" s="260"/>
      <c r="N3" s="260"/>
      <c r="O3" s="260"/>
      <c r="P3" s="260"/>
      <c r="Q3" s="260"/>
      <c r="R3" s="260"/>
      <c r="S3" s="260"/>
      <c r="T3" s="260"/>
      <c r="U3" s="260"/>
      <c r="V3" s="260"/>
      <c r="W3" s="260"/>
      <c r="X3" s="260"/>
      <c r="Y3" s="260"/>
      <c r="Z3" s="260"/>
      <c r="AA3" s="260"/>
      <c r="AB3" s="260"/>
      <c r="AC3" s="260"/>
      <c r="AD3" s="260"/>
      <c r="AE3" s="260"/>
      <c r="AF3" s="260"/>
      <c r="AG3" s="260"/>
      <c r="AH3" s="260"/>
    </row>
    <row r="5" spans="1:45" ht="15" customHeight="1">
      <c r="A5" s="152"/>
      <c r="B5" s="303" t="s">
        <v>142</v>
      </c>
      <c r="C5" s="253"/>
      <c r="D5" s="253"/>
      <c r="E5" s="253"/>
      <c r="F5" s="253"/>
      <c r="G5" s="253"/>
      <c r="H5" s="253"/>
      <c r="I5" s="253"/>
      <c r="J5" s="253"/>
      <c r="K5" s="253"/>
      <c r="L5" s="253"/>
      <c r="M5" s="253"/>
      <c r="N5" s="253"/>
      <c r="O5" s="253"/>
      <c r="P5" s="253"/>
      <c r="Q5" s="253"/>
      <c r="R5" s="253"/>
      <c r="S5" s="253"/>
      <c r="T5" s="254"/>
      <c r="U5" s="302" t="s">
        <v>143</v>
      </c>
      <c r="V5" s="253"/>
      <c r="W5" s="253"/>
      <c r="X5" s="253"/>
      <c r="Y5" s="253"/>
      <c r="Z5" s="253"/>
      <c r="AA5" s="253"/>
      <c r="AB5" s="253"/>
      <c r="AC5" s="253"/>
      <c r="AD5" s="254"/>
      <c r="AE5" s="300" t="s">
        <v>144</v>
      </c>
      <c r="AF5" s="254"/>
      <c r="AG5" s="301" t="s">
        <v>145</v>
      </c>
      <c r="AH5" s="254"/>
    </row>
    <row r="6" spans="1:45" ht="57" customHeight="1">
      <c r="A6" s="72" t="s">
        <v>146</v>
      </c>
      <c r="B6" s="72" t="s">
        <v>147</v>
      </c>
      <c r="C6" s="72" t="s">
        <v>148</v>
      </c>
      <c r="D6" s="72" t="s">
        <v>149</v>
      </c>
      <c r="E6" s="72" t="s">
        <v>150</v>
      </c>
      <c r="F6" s="72" t="s">
        <v>151</v>
      </c>
      <c r="G6" s="72" t="s">
        <v>152</v>
      </c>
      <c r="H6" s="72" t="s">
        <v>154</v>
      </c>
      <c r="I6" s="72" t="s">
        <v>155</v>
      </c>
      <c r="J6" s="72" t="s">
        <v>156</v>
      </c>
      <c r="K6" s="72" t="s">
        <v>157</v>
      </c>
      <c r="L6" s="72" t="s">
        <v>158</v>
      </c>
      <c r="M6" s="153" t="s">
        <v>159</v>
      </c>
      <c r="N6" s="72" t="s">
        <v>1012</v>
      </c>
      <c r="O6" s="72" t="s">
        <v>161</v>
      </c>
      <c r="P6" s="72" t="s">
        <v>162</v>
      </c>
      <c r="Q6" s="72" t="s">
        <v>163</v>
      </c>
      <c r="R6" s="153" t="s">
        <v>164</v>
      </c>
      <c r="S6" s="72" t="s">
        <v>165</v>
      </c>
      <c r="T6" s="72" t="s">
        <v>166</v>
      </c>
      <c r="U6" s="75" t="s">
        <v>167</v>
      </c>
      <c r="V6" s="75" t="s">
        <v>168</v>
      </c>
      <c r="W6" s="75" t="s">
        <v>169</v>
      </c>
      <c r="X6" s="75" t="s">
        <v>170</v>
      </c>
      <c r="Y6" s="154" t="s">
        <v>171</v>
      </c>
      <c r="Z6" s="75" t="s">
        <v>172</v>
      </c>
      <c r="AA6" s="75" t="s">
        <v>1013</v>
      </c>
      <c r="AB6" s="155" t="s">
        <v>176</v>
      </c>
      <c r="AC6" s="75" t="s">
        <v>182</v>
      </c>
      <c r="AD6" s="75" t="s">
        <v>183</v>
      </c>
      <c r="AE6" s="79" t="s">
        <v>184</v>
      </c>
      <c r="AF6" s="156" t="s">
        <v>185</v>
      </c>
      <c r="AG6" s="81" t="s">
        <v>186</v>
      </c>
      <c r="AH6" s="81" t="s">
        <v>187</v>
      </c>
      <c r="AI6" s="82" t="s">
        <v>188</v>
      </c>
      <c r="AJ6" s="157" t="s">
        <v>189</v>
      </c>
      <c r="AK6" s="158" t="s">
        <v>190</v>
      </c>
    </row>
    <row r="7" spans="1:45" ht="14.25" customHeight="1">
      <c r="A7" s="159">
        <v>1</v>
      </c>
      <c r="B7" s="159" t="s">
        <v>191</v>
      </c>
      <c r="C7" s="159" t="s">
        <v>1014</v>
      </c>
      <c r="D7" s="160">
        <v>45793</v>
      </c>
      <c r="E7" s="159">
        <v>1048</v>
      </c>
      <c r="F7" s="159" t="s">
        <v>1015</v>
      </c>
      <c r="G7" s="159" t="s">
        <v>1016</v>
      </c>
      <c r="H7" s="159" t="s">
        <v>1017</v>
      </c>
      <c r="I7" s="159" t="s">
        <v>447</v>
      </c>
      <c r="J7" s="159">
        <v>2018</v>
      </c>
      <c r="K7" s="159" t="s">
        <v>1018</v>
      </c>
      <c r="L7" s="159" t="s">
        <v>1019</v>
      </c>
      <c r="M7" s="161" t="s">
        <v>1020</v>
      </c>
      <c r="N7" s="159" t="s">
        <v>1021</v>
      </c>
      <c r="O7" s="159" t="s">
        <v>1022</v>
      </c>
      <c r="P7" s="159" t="s">
        <v>518</v>
      </c>
      <c r="Q7" s="159" t="s">
        <v>203</v>
      </c>
      <c r="R7" s="161" t="s">
        <v>9</v>
      </c>
      <c r="S7" s="159" t="s">
        <v>9</v>
      </c>
      <c r="T7" s="159" t="s">
        <v>908</v>
      </c>
      <c r="U7" s="160">
        <v>45806</v>
      </c>
      <c r="V7" s="159" t="s">
        <v>1023</v>
      </c>
      <c r="W7" s="159" t="s">
        <v>1024</v>
      </c>
      <c r="X7" s="159" t="s">
        <v>1022</v>
      </c>
      <c r="Y7" s="161" t="s">
        <v>1025</v>
      </c>
      <c r="Z7" s="159">
        <v>89293497</v>
      </c>
      <c r="AA7" s="159">
        <v>13</v>
      </c>
      <c r="AB7" s="162">
        <v>13</v>
      </c>
      <c r="AC7" s="159">
        <v>1048</v>
      </c>
      <c r="AD7" s="159" t="s">
        <v>908</v>
      </c>
      <c r="AE7" s="159" t="s">
        <v>9</v>
      </c>
      <c r="AF7" s="159" t="s">
        <v>9</v>
      </c>
      <c r="AG7" s="159" t="s">
        <v>9</v>
      </c>
      <c r="AH7" s="159" t="s">
        <v>9</v>
      </c>
      <c r="AI7" s="160">
        <v>45805</v>
      </c>
      <c r="AJ7" s="163" t="s">
        <v>1026</v>
      </c>
      <c r="AK7" s="159" t="s">
        <v>668</v>
      </c>
      <c r="AL7" s="103"/>
      <c r="AM7" s="10"/>
      <c r="AN7" s="10"/>
      <c r="AO7" s="10"/>
      <c r="AP7" s="10"/>
      <c r="AQ7" s="10"/>
      <c r="AR7" s="10"/>
      <c r="AS7" s="10"/>
    </row>
    <row r="8" spans="1:45" ht="14.25" customHeight="1">
      <c r="A8" s="159">
        <v>2</v>
      </c>
      <c r="B8" s="159" t="s">
        <v>191</v>
      </c>
      <c r="C8" s="159" t="s">
        <v>1014</v>
      </c>
      <c r="D8" s="160">
        <v>45795</v>
      </c>
      <c r="E8" s="159">
        <v>1050</v>
      </c>
      <c r="F8" s="159" t="s">
        <v>1027</v>
      </c>
      <c r="G8" s="159" t="s">
        <v>1028</v>
      </c>
      <c r="H8" s="159" t="s">
        <v>1029</v>
      </c>
      <c r="I8" s="159" t="s">
        <v>196</v>
      </c>
      <c r="J8" s="159">
        <v>2023</v>
      </c>
      <c r="K8" s="159" t="s">
        <v>1030</v>
      </c>
      <c r="L8" s="159" t="s">
        <v>1031</v>
      </c>
      <c r="M8" s="161" t="s">
        <v>1032</v>
      </c>
      <c r="N8" s="159" t="s">
        <v>1033</v>
      </c>
      <c r="O8" s="159" t="s">
        <v>1034</v>
      </c>
      <c r="P8" s="159" t="s">
        <v>492</v>
      </c>
      <c r="Q8" s="159" t="s">
        <v>9</v>
      </c>
      <c r="R8" s="159" t="s">
        <v>9</v>
      </c>
      <c r="S8" s="159" t="s">
        <v>9</v>
      </c>
      <c r="T8" s="159" t="s">
        <v>908</v>
      </c>
      <c r="U8" s="160">
        <v>45967</v>
      </c>
      <c r="V8" s="159" t="s">
        <v>1035</v>
      </c>
      <c r="W8" s="159" t="s">
        <v>267</v>
      </c>
      <c r="X8" s="159" t="s">
        <v>1034</v>
      </c>
      <c r="Y8" s="161" t="s">
        <v>1036</v>
      </c>
      <c r="Z8" s="159">
        <v>94171204</v>
      </c>
      <c r="AA8" s="159">
        <v>173</v>
      </c>
      <c r="AB8" s="162">
        <v>173</v>
      </c>
      <c r="AC8" s="159">
        <v>1050</v>
      </c>
      <c r="AD8" s="159" t="s">
        <v>1037</v>
      </c>
      <c r="AE8" s="159" t="s">
        <v>9</v>
      </c>
      <c r="AF8" s="159" t="s">
        <v>9</v>
      </c>
      <c r="AG8" s="159" t="s">
        <v>9</v>
      </c>
      <c r="AH8" s="159" t="s">
        <v>9</v>
      </c>
      <c r="AI8" s="160">
        <v>45967</v>
      </c>
      <c r="AJ8" s="163" t="s">
        <v>1038</v>
      </c>
      <c r="AK8" s="159" t="s">
        <v>248</v>
      </c>
      <c r="AL8" s="103"/>
    </row>
    <row r="9" spans="1:45" ht="14.25" customHeight="1">
      <c r="A9" s="159">
        <v>3</v>
      </c>
      <c r="B9" s="159" t="s">
        <v>191</v>
      </c>
      <c r="C9" s="159" t="s">
        <v>1014</v>
      </c>
      <c r="D9" s="160">
        <v>45802</v>
      </c>
      <c r="E9" s="159">
        <v>1058</v>
      </c>
      <c r="F9" s="159" t="s">
        <v>1039</v>
      </c>
      <c r="G9" s="159" t="s">
        <v>1040</v>
      </c>
      <c r="H9" s="159" t="s">
        <v>1041</v>
      </c>
      <c r="I9" s="159" t="s">
        <v>478</v>
      </c>
      <c r="J9" s="159">
        <v>2020</v>
      </c>
      <c r="K9" s="159" t="s">
        <v>1042</v>
      </c>
      <c r="L9" s="159" t="s">
        <v>1043</v>
      </c>
      <c r="M9" s="161" t="s">
        <v>1044</v>
      </c>
      <c r="N9" s="159" t="s">
        <v>1045</v>
      </c>
      <c r="O9" s="159" t="s">
        <v>1046</v>
      </c>
      <c r="P9" s="159" t="s">
        <v>492</v>
      </c>
      <c r="Q9" s="159" t="s">
        <v>9</v>
      </c>
      <c r="R9" s="159" t="s">
        <v>9</v>
      </c>
      <c r="S9" s="159" t="s">
        <v>9</v>
      </c>
      <c r="T9" s="159" t="s">
        <v>271</v>
      </c>
      <c r="U9" s="160">
        <v>45803</v>
      </c>
      <c r="V9" s="159" t="s">
        <v>1047</v>
      </c>
      <c r="W9" s="159" t="s">
        <v>1048</v>
      </c>
      <c r="X9" s="159" t="s">
        <v>1046</v>
      </c>
      <c r="Y9" s="161">
        <v>1724277015</v>
      </c>
      <c r="Z9" s="159">
        <v>89226240</v>
      </c>
      <c r="AA9" s="159">
        <v>2</v>
      </c>
      <c r="AB9" s="162">
        <v>2</v>
      </c>
      <c r="AC9" s="159">
        <v>1058</v>
      </c>
      <c r="AD9" s="159" t="s">
        <v>271</v>
      </c>
      <c r="AE9" s="159" t="s">
        <v>9</v>
      </c>
      <c r="AF9" s="159" t="s">
        <v>9</v>
      </c>
      <c r="AG9" s="159" t="s">
        <v>9</v>
      </c>
      <c r="AH9" s="159" t="s">
        <v>9</v>
      </c>
      <c r="AI9" s="160">
        <v>45803</v>
      </c>
      <c r="AJ9" s="163" t="s">
        <v>1049</v>
      </c>
      <c r="AK9" s="159" t="s">
        <v>668</v>
      </c>
      <c r="AL9" s="103"/>
      <c r="AM9" s="10"/>
      <c r="AN9" s="10"/>
      <c r="AO9" s="10"/>
      <c r="AP9" s="10"/>
      <c r="AQ9" s="10"/>
      <c r="AR9" s="10"/>
      <c r="AS9" s="10"/>
    </row>
    <row r="10" spans="1:45" ht="14.25" customHeight="1">
      <c r="A10" s="159">
        <v>4</v>
      </c>
      <c r="B10" s="159" t="s">
        <v>191</v>
      </c>
      <c r="C10" s="159" t="s">
        <v>1014</v>
      </c>
      <c r="D10" s="160">
        <v>45802</v>
      </c>
      <c r="E10" s="159">
        <v>1059</v>
      </c>
      <c r="F10" s="159" t="s">
        <v>1050</v>
      </c>
      <c r="G10" s="159" t="s">
        <v>1051</v>
      </c>
      <c r="H10" s="159" t="s">
        <v>1052</v>
      </c>
      <c r="I10" s="159" t="s">
        <v>478</v>
      </c>
      <c r="J10" s="159">
        <v>2025</v>
      </c>
      <c r="K10" s="159" t="s">
        <v>1053</v>
      </c>
      <c r="L10" s="159" t="s">
        <v>1054</v>
      </c>
      <c r="M10" s="161" t="s">
        <v>1055</v>
      </c>
      <c r="N10" s="159" t="s">
        <v>1033</v>
      </c>
      <c r="O10" s="159" t="s">
        <v>1056</v>
      </c>
      <c r="P10" s="159" t="s">
        <v>492</v>
      </c>
      <c r="Q10" s="159" t="s">
        <v>9</v>
      </c>
      <c r="R10" s="159" t="s">
        <v>9</v>
      </c>
      <c r="S10" s="159" t="s">
        <v>9</v>
      </c>
      <c r="T10" s="159" t="s">
        <v>271</v>
      </c>
      <c r="U10" s="160">
        <v>45826</v>
      </c>
      <c r="V10" s="159" t="s">
        <v>1057</v>
      </c>
      <c r="W10" s="159" t="s">
        <v>215</v>
      </c>
      <c r="X10" s="159" t="s">
        <v>1058</v>
      </c>
      <c r="Y10" s="161" t="s">
        <v>1059</v>
      </c>
      <c r="Z10" s="159">
        <v>89697765</v>
      </c>
      <c r="AA10" s="159">
        <v>25</v>
      </c>
      <c r="AB10" s="162">
        <v>25</v>
      </c>
      <c r="AC10" s="164">
        <v>1059</v>
      </c>
      <c r="AD10" s="159" t="s">
        <v>736</v>
      </c>
      <c r="AE10" s="159" t="s">
        <v>9</v>
      </c>
      <c r="AF10" s="159" t="s">
        <v>9</v>
      </c>
      <c r="AG10" s="159" t="s">
        <v>9</v>
      </c>
      <c r="AH10" s="159" t="s">
        <v>9</v>
      </c>
      <c r="AI10" s="160">
        <v>45826</v>
      </c>
      <c r="AJ10" s="163" t="s">
        <v>1060</v>
      </c>
      <c r="AK10" s="159" t="s">
        <v>233</v>
      </c>
      <c r="AL10" s="103"/>
      <c r="AM10" s="10"/>
      <c r="AN10" s="10"/>
      <c r="AO10" s="10"/>
      <c r="AP10" s="10"/>
      <c r="AQ10" s="10"/>
      <c r="AR10" s="10"/>
      <c r="AS10" s="10"/>
    </row>
    <row r="11" spans="1:45" ht="14.25" customHeight="1">
      <c r="A11" s="159">
        <v>5</v>
      </c>
      <c r="B11" s="159" t="s">
        <v>191</v>
      </c>
      <c r="C11" s="159" t="s">
        <v>1014</v>
      </c>
      <c r="D11" s="160">
        <v>45802</v>
      </c>
      <c r="E11" s="159">
        <v>1060</v>
      </c>
      <c r="F11" s="159" t="s">
        <v>1061</v>
      </c>
      <c r="G11" s="159" t="s">
        <v>1016</v>
      </c>
      <c r="H11" s="159" t="s">
        <v>1062</v>
      </c>
      <c r="I11" s="159" t="s">
        <v>478</v>
      </c>
      <c r="J11" s="159">
        <v>2018</v>
      </c>
      <c r="K11" s="159" t="s">
        <v>1063</v>
      </c>
      <c r="L11" s="159" t="s">
        <v>1064</v>
      </c>
      <c r="M11" s="161" t="s">
        <v>1065</v>
      </c>
      <c r="N11" s="159" t="s">
        <v>1033</v>
      </c>
      <c r="O11" s="159" t="s">
        <v>1066</v>
      </c>
      <c r="P11" s="159" t="s">
        <v>492</v>
      </c>
      <c r="Q11" s="159" t="s">
        <v>9</v>
      </c>
      <c r="R11" s="159" t="s">
        <v>9</v>
      </c>
      <c r="S11" s="159" t="s">
        <v>9</v>
      </c>
      <c r="T11" s="159" t="s">
        <v>271</v>
      </c>
      <c r="U11" s="160">
        <v>45804</v>
      </c>
      <c r="V11" s="159" t="s">
        <v>1067</v>
      </c>
      <c r="W11" s="159" t="s">
        <v>215</v>
      </c>
      <c r="X11" s="159" t="s">
        <v>1066</v>
      </c>
      <c r="Y11" s="161" t="s">
        <v>1068</v>
      </c>
      <c r="Z11" s="159">
        <v>89295106</v>
      </c>
      <c r="AA11" s="159">
        <v>3</v>
      </c>
      <c r="AB11" s="162">
        <v>3</v>
      </c>
      <c r="AC11" s="159">
        <v>1060</v>
      </c>
      <c r="AD11" s="159" t="s">
        <v>271</v>
      </c>
      <c r="AE11" s="159" t="s">
        <v>9</v>
      </c>
      <c r="AF11" s="159" t="s">
        <v>9</v>
      </c>
      <c r="AG11" s="159" t="s">
        <v>9</v>
      </c>
      <c r="AH11" s="159" t="s">
        <v>9</v>
      </c>
      <c r="AI11" s="160">
        <v>45804</v>
      </c>
      <c r="AJ11" s="163" t="s">
        <v>1069</v>
      </c>
      <c r="AK11" s="159" t="s">
        <v>668</v>
      </c>
      <c r="AL11" s="103"/>
      <c r="AM11" s="10"/>
      <c r="AN11" s="10"/>
      <c r="AO11" s="10"/>
      <c r="AP11" s="10"/>
      <c r="AQ11" s="10"/>
      <c r="AR11" s="10"/>
      <c r="AS11" s="10"/>
    </row>
    <row r="12" spans="1:45" ht="14.25" customHeight="1">
      <c r="A12" s="159">
        <v>6</v>
      </c>
      <c r="B12" s="159" t="s">
        <v>191</v>
      </c>
      <c r="C12" s="159" t="s">
        <v>1014</v>
      </c>
      <c r="D12" s="160">
        <v>45806</v>
      </c>
      <c r="E12" s="159">
        <v>1061</v>
      </c>
      <c r="F12" s="159" t="s">
        <v>1070</v>
      </c>
      <c r="G12" s="159" t="s">
        <v>1071</v>
      </c>
      <c r="H12" s="159" t="s">
        <v>1072</v>
      </c>
      <c r="I12" s="159" t="s">
        <v>306</v>
      </c>
      <c r="J12" s="159">
        <v>2025</v>
      </c>
      <c r="K12" s="159" t="s">
        <v>1073</v>
      </c>
      <c r="L12" s="159" t="s">
        <v>1074</v>
      </c>
      <c r="M12" s="161" t="s">
        <v>1075</v>
      </c>
      <c r="N12" s="159" t="s">
        <v>1076</v>
      </c>
      <c r="O12" s="159" t="s">
        <v>1077</v>
      </c>
      <c r="P12" s="159" t="s">
        <v>492</v>
      </c>
      <c r="Q12" s="159" t="s">
        <v>9</v>
      </c>
      <c r="R12" s="159" t="s">
        <v>9</v>
      </c>
      <c r="S12" s="159" t="s">
        <v>9</v>
      </c>
      <c r="T12" s="159" t="s">
        <v>908</v>
      </c>
      <c r="U12" s="160">
        <v>45808</v>
      </c>
      <c r="V12" s="159" t="s">
        <v>1078</v>
      </c>
      <c r="W12" s="159" t="s">
        <v>215</v>
      </c>
      <c r="X12" s="159" t="s">
        <v>1077</v>
      </c>
      <c r="Y12" s="161">
        <v>1722034749</v>
      </c>
      <c r="Z12" s="159">
        <v>89313151</v>
      </c>
      <c r="AA12" s="159">
        <v>3</v>
      </c>
      <c r="AB12" s="162">
        <v>3</v>
      </c>
      <c r="AC12" s="159">
        <v>1061</v>
      </c>
      <c r="AD12" s="159" t="s">
        <v>908</v>
      </c>
      <c r="AE12" s="159" t="s">
        <v>9</v>
      </c>
      <c r="AF12" s="159" t="s">
        <v>9</v>
      </c>
      <c r="AG12" s="159" t="s">
        <v>9</v>
      </c>
      <c r="AH12" s="159" t="s">
        <v>9</v>
      </c>
      <c r="AI12" s="160">
        <v>45808</v>
      </c>
      <c r="AJ12" s="163" t="s">
        <v>1079</v>
      </c>
      <c r="AK12" s="159" t="s">
        <v>233</v>
      </c>
      <c r="AL12" s="103"/>
      <c r="AM12" s="10"/>
      <c r="AN12" s="10"/>
      <c r="AO12" s="10"/>
      <c r="AP12" s="10"/>
      <c r="AQ12" s="10"/>
      <c r="AR12" s="10"/>
      <c r="AS12" s="10"/>
    </row>
    <row r="13" spans="1:45" ht="14.25" customHeight="1">
      <c r="A13" s="159">
        <v>7</v>
      </c>
      <c r="B13" s="159" t="s">
        <v>191</v>
      </c>
      <c r="C13" s="159" t="s">
        <v>1014</v>
      </c>
      <c r="D13" s="160">
        <v>45806</v>
      </c>
      <c r="E13" s="159">
        <v>1062</v>
      </c>
      <c r="F13" s="159" t="s">
        <v>1080</v>
      </c>
      <c r="G13" s="159" t="s">
        <v>1081</v>
      </c>
      <c r="H13" s="159" t="s">
        <v>1082</v>
      </c>
      <c r="I13" s="159" t="s">
        <v>306</v>
      </c>
      <c r="J13" s="159">
        <v>2022</v>
      </c>
      <c r="K13" s="159" t="s">
        <v>1083</v>
      </c>
      <c r="L13" s="159" t="s">
        <v>1084</v>
      </c>
      <c r="M13" s="161" t="s">
        <v>1085</v>
      </c>
      <c r="N13" s="159" t="s">
        <v>1086</v>
      </c>
      <c r="O13" s="159" t="s">
        <v>1087</v>
      </c>
      <c r="P13" s="159" t="s">
        <v>518</v>
      </c>
      <c r="Q13" s="159" t="s">
        <v>203</v>
      </c>
      <c r="R13" s="159" t="s">
        <v>9</v>
      </c>
      <c r="S13" s="159" t="s">
        <v>9</v>
      </c>
      <c r="T13" s="159" t="s">
        <v>908</v>
      </c>
      <c r="U13" s="160">
        <v>45832</v>
      </c>
      <c r="V13" s="159" t="s">
        <v>1088</v>
      </c>
      <c r="W13" s="159" t="s">
        <v>1089</v>
      </c>
      <c r="X13" s="159" t="s">
        <v>1087</v>
      </c>
      <c r="Y13" s="161" t="s">
        <v>1090</v>
      </c>
      <c r="Z13" s="159">
        <v>89879240</v>
      </c>
      <c r="AA13" s="159">
        <v>27</v>
      </c>
      <c r="AB13" s="162">
        <v>27</v>
      </c>
      <c r="AC13" s="159">
        <v>1062</v>
      </c>
      <c r="AD13" s="159" t="s">
        <v>736</v>
      </c>
      <c r="AE13" s="159" t="s">
        <v>9</v>
      </c>
      <c r="AF13" s="159" t="s">
        <v>9</v>
      </c>
      <c r="AG13" s="159" t="s">
        <v>9</v>
      </c>
      <c r="AH13" s="159" t="s">
        <v>9</v>
      </c>
      <c r="AI13" s="160">
        <v>45832</v>
      </c>
      <c r="AJ13" s="163" t="s">
        <v>1091</v>
      </c>
      <c r="AK13" s="159" t="s">
        <v>248</v>
      </c>
      <c r="AL13" s="103"/>
      <c r="AM13" s="10"/>
      <c r="AN13" s="10"/>
      <c r="AO13" s="10"/>
      <c r="AP13" s="10"/>
      <c r="AQ13" s="10"/>
      <c r="AR13" s="10"/>
      <c r="AS13" s="10"/>
    </row>
    <row r="14" spans="1:45" ht="14.25" customHeight="1">
      <c r="A14" s="5">
        <v>8</v>
      </c>
      <c r="B14" s="5" t="s">
        <v>191</v>
      </c>
      <c r="C14" s="5" t="s">
        <v>1014</v>
      </c>
      <c r="D14" s="2">
        <v>45808</v>
      </c>
      <c r="E14" s="62">
        <v>1064</v>
      </c>
      <c r="F14" s="5" t="s">
        <v>1092</v>
      </c>
      <c r="G14" s="5" t="s">
        <v>194</v>
      </c>
      <c r="H14" s="5" t="s">
        <v>1093</v>
      </c>
      <c r="I14" s="5" t="s">
        <v>196</v>
      </c>
      <c r="J14" s="5">
        <v>2006</v>
      </c>
      <c r="K14" s="5" t="s">
        <v>1094</v>
      </c>
      <c r="L14" s="5" t="s">
        <v>1095</v>
      </c>
      <c r="M14" s="165" t="s">
        <v>1096</v>
      </c>
      <c r="N14" s="5" t="s">
        <v>1097</v>
      </c>
      <c r="O14" s="5" t="s">
        <v>1098</v>
      </c>
      <c r="P14" s="5" t="s">
        <v>492</v>
      </c>
      <c r="Q14" s="62" t="s">
        <v>9</v>
      </c>
      <c r="R14" s="62" t="s">
        <v>9</v>
      </c>
      <c r="S14" s="62" t="s">
        <v>9</v>
      </c>
      <c r="T14" s="5" t="s">
        <v>908</v>
      </c>
      <c r="U14" s="5"/>
      <c r="V14" s="5"/>
      <c r="W14" s="5"/>
      <c r="X14" s="5"/>
      <c r="Y14" s="165"/>
      <c r="Z14" s="62"/>
      <c r="AA14" s="5"/>
      <c r="AB14" s="71"/>
      <c r="AC14" s="5"/>
      <c r="AD14" s="5"/>
      <c r="AE14" s="5"/>
      <c r="AF14" s="5"/>
      <c r="AG14" s="5"/>
      <c r="AH14" s="5"/>
      <c r="AI14" s="5"/>
      <c r="AJ14" s="166"/>
      <c r="AK14" s="5"/>
      <c r="AL14" s="103"/>
    </row>
    <row r="15" spans="1:45" ht="14.25" customHeight="1">
      <c r="A15" s="159">
        <v>9</v>
      </c>
      <c r="B15" s="159" t="s">
        <v>191</v>
      </c>
      <c r="C15" s="159" t="s">
        <v>1014</v>
      </c>
      <c r="D15" s="160">
        <v>45816</v>
      </c>
      <c r="E15" s="159">
        <v>1066</v>
      </c>
      <c r="F15" s="159" t="s">
        <v>1099</v>
      </c>
      <c r="G15" s="159" t="s">
        <v>1100</v>
      </c>
      <c r="H15" s="159" t="s">
        <v>1101</v>
      </c>
      <c r="I15" s="159" t="s">
        <v>1102</v>
      </c>
      <c r="J15" s="159">
        <v>2023</v>
      </c>
      <c r="K15" s="159" t="s">
        <v>1103</v>
      </c>
      <c r="L15" s="159" t="s">
        <v>1104</v>
      </c>
      <c r="M15" s="161" t="s">
        <v>1105</v>
      </c>
      <c r="N15" s="159" t="s">
        <v>1106</v>
      </c>
      <c r="O15" s="159" t="s">
        <v>1107</v>
      </c>
      <c r="P15" s="159" t="s">
        <v>518</v>
      </c>
      <c r="Q15" s="159" t="s">
        <v>203</v>
      </c>
      <c r="R15" s="161" t="s">
        <v>9</v>
      </c>
      <c r="S15" s="159" t="s">
        <v>9</v>
      </c>
      <c r="T15" s="159" t="s">
        <v>271</v>
      </c>
      <c r="U15" s="160">
        <v>45833</v>
      </c>
      <c r="V15" s="159" t="s">
        <v>1108</v>
      </c>
      <c r="W15" s="159" t="s">
        <v>215</v>
      </c>
      <c r="X15" s="159" t="s">
        <v>1109</v>
      </c>
      <c r="Y15" s="161" t="s">
        <v>1110</v>
      </c>
      <c r="Z15" s="159">
        <v>89943243</v>
      </c>
      <c r="AA15" s="159">
        <v>18</v>
      </c>
      <c r="AB15" s="162">
        <v>18</v>
      </c>
      <c r="AC15" s="159">
        <v>1066</v>
      </c>
      <c r="AD15" s="159" t="s">
        <v>271</v>
      </c>
      <c r="AE15" s="159" t="s">
        <v>9</v>
      </c>
      <c r="AF15" s="159" t="s">
        <v>9</v>
      </c>
      <c r="AG15" s="159" t="s">
        <v>1111</v>
      </c>
      <c r="AH15" s="159" t="s">
        <v>1112</v>
      </c>
      <c r="AI15" s="160">
        <v>45833</v>
      </c>
      <c r="AJ15" s="163" t="s">
        <v>1113</v>
      </c>
      <c r="AK15" s="159" t="s">
        <v>248</v>
      </c>
      <c r="AL15" s="103"/>
      <c r="AM15" s="10"/>
      <c r="AN15" s="10"/>
      <c r="AO15" s="10"/>
      <c r="AP15" s="10"/>
      <c r="AQ15" s="10"/>
      <c r="AR15" s="10"/>
      <c r="AS15" s="10"/>
    </row>
    <row r="16" spans="1:45" ht="14.25" customHeight="1">
      <c r="A16" s="159">
        <v>10</v>
      </c>
      <c r="B16" s="159" t="s">
        <v>191</v>
      </c>
      <c r="C16" s="159" t="s">
        <v>1014</v>
      </c>
      <c r="D16" s="160">
        <v>45823</v>
      </c>
      <c r="E16" s="159">
        <v>1070</v>
      </c>
      <c r="F16" s="159" t="s">
        <v>1114</v>
      </c>
      <c r="G16" s="159" t="s">
        <v>1115</v>
      </c>
      <c r="H16" s="159" t="s">
        <v>1116</v>
      </c>
      <c r="I16" s="159" t="s">
        <v>209</v>
      </c>
      <c r="J16" s="159">
        <v>2024</v>
      </c>
      <c r="K16" s="159" t="s">
        <v>1117</v>
      </c>
      <c r="L16" s="159" t="s">
        <v>1118</v>
      </c>
      <c r="M16" s="159" t="s">
        <v>1119</v>
      </c>
      <c r="N16" s="159" t="s">
        <v>920</v>
      </c>
      <c r="O16" s="159" t="s">
        <v>1120</v>
      </c>
      <c r="P16" s="159" t="s">
        <v>518</v>
      </c>
      <c r="Q16" s="159" t="s">
        <v>203</v>
      </c>
      <c r="R16" s="159" t="s">
        <v>9</v>
      </c>
      <c r="S16" s="159" t="s">
        <v>9</v>
      </c>
      <c r="T16" s="159" t="s">
        <v>736</v>
      </c>
      <c r="U16" s="160">
        <v>45841</v>
      </c>
      <c r="V16" s="159" t="s">
        <v>1121</v>
      </c>
      <c r="W16" s="159" t="s">
        <v>1089</v>
      </c>
      <c r="X16" s="159" t="s">
        <v>1122</v>
      </c>
      <c r="Y16" s="159">
        <v>1717401481</v>
      </c>
      <c r="Z16" s="159">
        <v>90176686</v>
      </c>
      <c r="AA16" s="159">
        <v>19</v>
      </c>
      <c r="AB16" s="162">
        <v>19</v>
      </c>
      <c r="AC16" s="159">
        <v>1070</v>
      </c>
      <c r="AD16" s="159" t="s">
        <v>271</v>
      </c>
      <c r="AE16" s="159" t="s">
        <v>9</v>
      </c>
      <c r="AF16" s="159" t="s">
        <v>9</v>
      </c>
      <c r="AG16" s="159" t="s">
        <v>1111</v>
      </c>
      <c r="AH16" s="159" t="s">
        <v>1123</v>
      </c>
      <c r="AI16" s="160">
        <v>45841</v>
      </c>
      <c r="AJ16" s="163">
        <v>16125676</v>
      </c>
      <c r="AK16" s="159" t="s">
        <v>1124</v>
      </c>
      <c r="AL16" s="103"/>
      <c r="AM16" s="10"/>
      <c r="AN16" s="10"/>
      <c r="AO16" s="10"/>
      <c r="AP16" s="10"/>
      <c r="AQ16" s="10"/>
      <c r="AR16" s="10"/>
      <c r="AS16" s="10"/>
    </row>
    <row r="17" spans="1:45" ht="14.25" customHeight="1">
      <c r="A17" s="159">
        <v>11</v>
      </c>
      <c r="B17" s="159" t="s">
        <v>191</v>
      </c>
      <c r="C17" s="159" t="s">
        <v>1014</v>
      </c>
      <c r="D17" s="160">
        <v>45827</v>
      </c>
      <c r="E17" s="159">
        <v>1074</v>
      </c>
      <c r="F17" s="159" t="s">
        <v>1125</v>
      </c>
      <c r="G17" s="159" t="s">
        <v>1126</v>
      </c>
      <c r="H17" s="159" t="s">
        <v>1127</v>
      </c>
      <c r="I17" s="159" t="s">
        <v>306</v>
      </c>
      <c r="J17" s="159">
        <v>2020</v>
      </c>
      <c r="K17" s="159" t="s">
        <v>1128</v>
      </c>
      <c r="L17" s="159" t="s">
        <v>1129</v>
      </c>
      <c r="M17" s="161" t="s">
        <v>1130</v>
      </c>
      <c r="N17" s="159" t="s">
        <v>912</v>
      </c>
      <c r="O17" s="159" t="s">
        <v>1131</v>
      </c>
      <c r="P17" s="159" t="s">
        <v>518</v>
      </c>
      <c r="Q17" s="159" t="s">
        <v>203</v>
      </c>
      <c r="R17" s="161" t="s">
        <v>9</v>
      </c>
      <c r="S17" s="159" t="s">
        <v>9</v>
      </c>
      <c r="T17" s="159" t="s">
        <v>271</v>
      </c>
      <c r="U17" s="160">
        <v>45860</v>
      </c>
      <c r="V17" s="159" t="s">
        <v>1132</v>
      </c>
      <c r="W17" s="159" t="s">
        <v>215</v>
      </c>
      <c r="X17" s="159" t="s">
        <v>1131</v>
      </c>
      <c r="Y17" s="161" t="s">
        <v>1133</v>
      </c>
      <c r="Z17" s="159">
        <v>91474387</v>
      </c>
      <c r="AA17" s="159">
        <v>70</v>
      </c>
      <c r="AB17" s="162">
        <v>70</v>
      </c>
      <c r="AC17" s="159">
        <v>1074</v>
      </c>
      <c r="AD17" s="159" t="s">
        <v>736</v>
      </c>
      <c r="AE17" s="159" t="s">
        <v>9</v>
      </c>
      <c r="AF17" s="159" t="s">
        <v>9</v>
      </c>
      <c r="AG17" s="159" t="s">
        <v>1134</v>
      </c>
      <c r="AH17" s="159" t="s">
        <v>1135</v>
      </c>
      <c r="AI17" s="160">
        <v>45891</v>
      </c>
      <c r="AJ17" s="163" t="s">
        <v>1136</v>
      </c>
      <c r="AK17" s="159" t="s">
        <v>248</v>
      </c>
    </row>
    <row r="18" spans="1:45" ht="14.25" customHeight="1">
      <c r="A18" s="5">
        <v>12</v>
      </c>
      <c r="B18" s="5" t="s">
        <v>191</v>
      </c>
      <c r="C18" s="5" t="s">
        <v>1014</v>
      </c>
      <c r="D18" s="2">
        <v>45829</v>
      </c>
      <c r="E18" s="62">
        <v>1076</v>
      </c>
      <c r="F18" s="5" t="s">
        <v>1137</v>
      </c>
      <c r="G18" s="5" t="s">
        <v>1115</v>
      </c>
      <c r="H18" s="5" t="s">
        <v>1138</v>
      </c>
      <c r="I18" s="5" t="s">
        <v>306</v>
      </c>
      <c r="J18" s="5">
        <v>2014</v>
      </c>
      <c r="K18" s="5" t="s">
        <v>1139</v>
      </c>
      <c r="L18" s="5" t="s">
        <v>1140</v>
      </c>
      <c r="M18" s="5" t="s">
        <v>1141</v>
      </c>
      <c r="N18" s="5" t="s">
        <v>920</v>
      </c>
      <c r="O18" s="5" t="s">
        <v>1142</v>
      </c>
      <c r="P18" s="5" t="s">
        <v>518</v>
      </c>
      <c r="Q18" s="5" t="s">
        <v>203</v>
      </c>
      <c r="R18" s="5" t="s">
        <v>9</v>
      </c>
      <c r="S18" s="5" t="s">
        <v>9</v>
      </c>
      <c r="T18" s="5" t="s">
        <v>271</v>
      </c>
      <c r="Z18" s="62"/>
      <c r="AB18" s="71"/>
      <c r="AJ18" s="166"/>
      <c r="AL18" s="103"/>
      <c r="AM18" s="10"/>
      <c r="AN18" s="10"/>
      <c r="AO18" s="10"/>
      <c r="AP18" s="10"/>
      <c r="AQ18" s="10"/>
      <c r="AR18" s="10"/>
      <c r="AS18" s="10"/>
    </row>
    <row r="19" spans="1:45" ht="14.25" customHeight="1">
      <c r="A19" s="5">
        <v>13</v>
      </c>
      <c r="B19" s="5" t="s">
        <v>191</v>
      </c>
      <c r="C19" s="5" t="s">
        <v>1014</v>
      </c>
      <c r="D19" s="2">
        <v>45832</v>
      </c>
      <c r="E19" s="62">
        <v>1080</v>
      </c>
      <c r="F19" s="5" t="s">
        <v>1143</v>
      </c>
      <c r="G19" s="5" t="s">
        <v>1144</v>
      </c>
      <c r="H19" s="5" t="s">
        <v>1145</v>
      </c>
      <c r="I19" s="5" t="s">
        <v>306</v>
      </c>
      <c r="J19" s="5">
        <v>2016</v>
      </c>
      <c r="K19" s="5" t="s">
        <v>1146</v>
      </c>
      <c r="L19" s="5" t="s">
        <v>1147</v>
      </c>
      <c r="M19" s="165" t="s">
        <v>1148</v>
      </c>
      <c r="N19" s="5" t="s">
        <v>230</v>
      </c>
      <c r="O19" s="5" t="s">
        <v>1149</v>
      </c>
      <c r="P19" s="5" t="s">
        <v>492</v>
      </c>
      <c r="Q19" s="5" t="s">
        <v>9</v>
      </c>
      <c r="R19" s="165" t="s">
        <v>9</v>
      </c>
      <c r="S19" s="5" t="s">
        <v>9</v>
      </c>
      <c r="T19" s="5" t="s">
        <v>736</v>
      </c>
      <c r="U19" s="5"/>
      <c r="V19" s="5"/>
      <c r="W19" s="5"/>
      <c r="X19" s="5"/>
      <c r="Y19" s="165"/>
      <c r="Z19" s="62"/>
      <c r="AA19" s="5"/>
      <c r="AB19" s="71"/>
      <c r="AC19" s="5"/>
      <c r="AD19" s="5"/>
      <c r="AE19" s="5"/>
      <c r="AF19" s="5"/>
      <c r="AG19" s="5"/>
      <c r="AH19" s="5"/>
      <c r="AI19" s="5"/>
      <c r="AJ19" s="166"/>
      <c r="AK19" s="5"/>
      <c r="AL19" s="103"/>
    </row>
    <row r="20" spans="1:45" ht="14.25" customHeight="1">
      <c r="A20" s="5">
        <v>14</v>
      </c>
      <c r="B20" s="5" t="s">
        <v>191</v>
      </c>
      <c r="C20" s="5" t="s">
        <v>1014</v>
      </c>
      <c r="D20" s="2">
        <v>45833</v>
      </c>
      <c r="E20" s="62">
        <v>1081</v>
      </c>
      <c r="F20" s="5" t="s">
        <v>1150</v>
      </c>
      <c r="G20" s="5" t="s">
        <v>1126</v>
      </c>
      <c r="H20" s="5" t="s">
        <v>1127</v>
      </c>
      <c r="I20" s="5" t="s">
        <v>478</v>
      </c>
      <c r="J20" s="5">
        <v>2020</v>
      </c>
      <c r="K20" s="5" t="s">
        <v>1151</v>
      </c>
      <c r="L20" s="5" t="s">
        <v>1152</v>
      </c>
      <c r="M20" s="165" t="s">
        <v>1153</v>
      </c>
      <c r="N20" s="5" t="s">
        <v>501</v>
      </c>
      <c r="O20" s="5" t="s">
        <v>1154</v>
      </c>
      <c r="P20" s="5" t="s">
        <v>1155</v>
      </c>
      <c r="Q20" s="5" t="s">
        <v>203</v>
      </c>
      <c r="R20" s="165" t="s">
        <v>9</v>
      </c>
      <c r="S20" s="5" t="s">
        <v>9</v>
      </c>
      <c r="T20" s="5" t="s">
        <v>271</v>
      </c>
      <c r="U20" s="5"/>
      <c r="V20" s="5"/>
      <c r="W20" s="5"/>
      <c r="X20" s="5"/>
      <c r="Y20" s="165"/>
      <c r="Z20" s="62"/>
      <c r="AA20" s="5"/>
      <c r="AB20" s="71"/>
      <c r="AC20" s="5"/>
      <c r="AD20" s="5"/>
      <c r="AE20" s="5"/>
      <c r="AF20" s="5"/>
      <c r="AG20" s="5"/>
      <c r="AH20" s="5"/>
      <c r="AI20" s="5"/>
      <c r="AJ20" s="166"/>
      <c r="AK20" s="5"/>
      <c r="AL20" s="103"/>
    </row>
    <row r="21" spans="1:45" ht="14.25" customHeight="1">
      <c r="A21" s="5">
        <v>15</v>
      </c>
      <c r="B21" s="5" t="s">
        <v>191</v>
      </c>
      <c r="C21" s="5" t="s">
        <v>1014</v>
      </c>
      <c r="D21" s="2">
        <v>45838</v>
      </c>
      <c r="E21" s="62">
        <v>1084</v>
      </c>
      <c r="F21" s="5" t="s">
        <v>1156</v>
      </c>
      <c r="G21" s="5" t="s">
        <v>1115</v>
      </c>
      <c r="H21" s="5" t="s">
        <v>1157</v>
      </c>
      <c r="I21" s="5" t="s">
        <v>306</v>
      </c>
      <c r="J21" s="5">
        <v>2024</v>
      </c>
      <c r="K21" s="5" t="s">
        <v>1158</v>
      </c>
      <c r="L21" s="5" t="s">
        <v>1159</v>
      </c>
      <c r="M21" s="165" t="s">
        <v>1160</v>
      </c>
      <c r="N21" s="5" t="s">
        <v>1161</v>
      </c>
      <c r="O21" s="5" t="s">
        <v>1162</v>
      </c>
      <c r="P21" s="5" t="s">
        <v>518</v>
      </c>
      <c r="Q21" s="5" t="s">
        <v>203</v>
      </c>
      <c r="R21" s="165" t="s">
        <v>9</v>
      </c>
      <c r="S21" s="5" t="s">
        <v>9</v>
      </c>
      <c r="T21" s="5" t="s">
        <v>736</v>
      </c>
      <c r="U21" s="5"/>
      <c r="V21" s="5"/>
      <c r="W21" s="5" t="s">
        <v>140</v>
      </c>
      <c r="X21" s="5"/>
      <c r="Y21" s="165"/>
      <c r="Z21" s="62"/>
      <c r="AA21" s="5"/>
      <c r="AB21" s="71"/>
      <c r="AC21" s="5"/>
      <c r="AD21" s="5"/>
      <c r="AE21" s="5"/>
      <c r="AF21" s="5"/>
      <c r="AG21" s="5"/>
      <c r="AH21" s="5"/>
      <c r="AI21" s="5"/>
      <c r="AJ21" s="166"/>
      <c r="AK21" s="5"/>
      <c r="AL21" s="103"/>
    </row>
    <row r="22" spans="1:45" ht="14.25" customHeight="1">
      <c r="A22" s="159">
        <v>16</v>
      </c>
      <c r="B22" s="159" t="s">
        <v>191</v>
      </c>
      <c r="C22" s="159" t="s">
        <v>1014</v>
      </c>
      <c r="D22" s="160">
        <v>45838</v>
      </c>
      <c r="E22" s="159">
        <v>1085</v>
      </c>
      <c r="F22" s="159" t="s">
        <v>1050</v>
      </c>
      <c r="G22" s="159" t="s">
        <v>1163</v>
      </c>
      <c r="H22" s="159" t="s">
        <v>1164</v>
      </c>
      <c r="I22" s="159" t="s">
        <v>306</v>
      </c>
      <c r="J22" s="159">
        <v>2013</v>
      </c>
      <c r="K22" s="159" t="s">
        <v>1165</v>
      </c>
      <c r="L22" s="159" t="s">
        <v>1166</v>
      </c>
      <c r="M22" s="159" t="s">
        <v>1167</v>
      </c>
      <c r="N22" s="159" t="s">
        <v>1168</v>
      </c>
      <c r="O22" s="159" t="s">
        <v>1169</v>
      </c>
      <c r="P22" s="159" t="s">
        <v>518</v>
      </c>
      <c r="Q22" s="159" t="s">
        <v>203</v>
      </c>
      <c r="R22" s="159" t="s">
        <v>9</v>
      </c>
      <c r="S22" s="159" t="s">
        <v>9</v>
      </c>
      <c r="T22" s="159" t="s">
        <v>736</v>
      </c>
      <c r="U22" s="160">
        <v>45871</v>
      </c>
      <c r="V22" s="159" t="s">
        <v>1170</v>
      </c>
      <c r="W22" s="159" t="s">
        <v>267</v>
      </c>
      <c r="X22" s="159" t="s">
        <v>1171</v>
      </c>
      <c r="Y22" s="159">
        <v>2300063209</v>
      </c>
      <c r="Z22" s="159">
        <v>90952047</v>
      </c>
      <c r="AA22" s="159">
        <v>34</v>
      </c>
      <c r="AB22" s="162">
        <v>34</v>
      </c>
      <c r="AC22" s="159">
        <v>1085</v>
      </c>
      <c r="AD22" s="159" t="s">
        <v>271</v>
      </c>
      <c r="AE22" s="159" t="s">
        <v>9</v>
      </c>
      <c r="AF22" s="159" t="s">
        <v>9</v>
      </c>
      <c r="AG22" s="159" t="s">
        <v>1172</v>
      </c>
      <c r="AH22" s="159" t="s">
        <v>1123</v>
      </c>
      <c r="AI22" s="160">
        <v>45871</v>
      </c>
      <c r="AJ22" s="163" t="s">
        <v>1173</v>
      </c>
      <c r="AK22" s="159" t="s">
        <v>233</v>
      </c>
      <c r="AL22" s="103"/>
      <c r="AM22" s="10"/>
      <c r="AN22" s="10"/>
      <c r="AO22" s="10"/>
      <c r="AP22" s="10"/>
      <c r="AQ22" s="10"/>
      <c r="AR22" s="10"/>
      <c r="AS22" s="10"/>
    </row>
    <row r="23" spans="1:45" ht="14.25" customHeight="1">
      <c r="A23" s="159">
        <v>17</v>
      </c>
      <c r="B23" s="159" t="s">
        <v>191</v>
      </c>
      <c r="C23" s="159" t="s">
        <v>1014</v>
      </c>
      <c r="D23" s="160">
        <v>45844</v>
      </c>
      <c r="E23" s="159">
        <v>1090</v>
      </c>
      <c r="F23" s="159" t="s">
        <v>1174</v>
      </c>
      <c r="G23" s="159" t="s">
        <v>1175</v>
      </c>
      <c r="H23" s="159" t="s">
        <v>1176</v>
      </c>
      <c r="I23" s="159" t="s">
        <v>209</v>
      </c>
      <c r="J23" s="159">
        <v>2012</v>
      </c>
      <c r="K23" s="159" t="s">
        <v>1177</v>
      </c>
      <c r="L23" s="159" t="s">
        <v>1178</v>
      </c>
      <c r="M23" s="161" t="s">
        <v>1179</v>
      </c>
      <c r="N23" s="159" t="s">
        <v>1180</v>
      </c>
      <c r="O23" s="159" t="s">
        <v>1181</v>
      </c>
      <c r="P23" s="159" t="s">
        <v>518</v>
      </c>
      <c r="Q23" s="159" t="s">
        <v>203</v>
      </c>
      <c r="R23" s="161" t="s">
        <v>9</v>
      </c>
      <c r="S23" s="159" t="s">
        <v>9</v>
      </c>
      <c r="T23" s="159" t="s">
        <v>271</v>
      </c>
      <c r="U23" s="160">
        <v>45874</v>
      </c>
      <c r="V23" s="159" t="s">
        <v>1182</v>
      </c>
      <c r="W23" s="159" t="s">
        <v>215</v>
      </c>
      <c r="X23" s="159" t="s">
        <v>1181</v>
      </c>
      <c r="Y23" s="161" t="s">
        <v>1183</v>
      </c>
      <c r="Z23" s="159">
        <v>91002916</v>
      </c>
      <c r="AA23" s="159">
        <v>31</v>
      </c>
      <c r="AB23" s="162">
        <v>31</v>
      </c>
      <c r="AC23" s="159">
        <v>1090</v>
      </c>
      <c r="AD23" s="159" t="s">
        <v>736</v>
      </c>
      <c r="AE23" s="159" t="s">
        <v>9</v>
      </c>
      <c r="AF23" s="159" t="s">
        <v>9</v>
      </c>
      <c r="AG23" s="159" t="s">
        <v>1184</v>
      </c>
      <c r="AH23" s="159" t="s">
        <v>522</v>
      </c>
      <c r="AI23" s="160">
        <v>45874</v>
      </c>
      <c r="AJ23" s="163" t="s">
        <v>1185</v>
      </c>
      <c r="AK23" s="159" t="s">
        <v>668</v>
      </c>
      <c r="AL23" s="103"/>
      <c r="AM23" s="103"/>
      <c r="AN23" s="103"/>
      <c r="AO23" s="103"/>
      <c r="AP23" s="103"/>
      <c r="AQ23" s="103"/>
      <c r="AR23" s="103"/>
      <c r="AS23" s="103"/>
    </row>
    <row r="24" spans="1:45" ht="14.25" customHeight="1">
      <c r="A24" s="159">
        <v>18</v>
      </c>
      <c r="B24" s="159" t="s">
        <v>191</v>
      </c>
      <c r="C24" s="159" t="s">
        <v>1014</v>
      </c>
      <c r="D24" s="160">
        <v>45844</v>
      </c>
      <c r="E24" s="159">
        <v>1091</v>
      </c>
      <c r="F24" s="159" t="s">
        <v>1186</v>
      </c>
      <c r="G24" s="159" t="s">
        <v>194</v>
      </c>
      <c r="H24" s="159" t="s">
        <v>1187</v>
      </c>
      <c r="I24" s="159" t="s">
        <v>306</v>
      </c>
      <c r="J24" s="159">
        <v>2022</v>
      </c>
      <c r="K24" s="159" t="s">
        <v>1188</v>
      </c>
      <c r="L24" s="159" t="s">
        <v>1189</v>
      </c>
      <c r="M24" s="161" t="s">
        <v>1190</v>
      </c>
      <c r="N24" s="159" t="s">
        <v>1191</v>
      </c>
      <c r="O24" s="159" t="s">
        <v>1192</v>
      </c>
      <c r="P24" s="159" t="s">
        <v>1193</v>
      </c>
      <c r="Q24" s="159" t="s">
        <v>9</v>
      </c>
      <c r="R24" s="161" t="s">
        <v>9</v>
      </c>
      <c r="S24" s="159" t="s">
        <v>9</v>
      </c>
      <c r="T24" s="159" t="s">
        <v>271</v>
      </c>
      <c r="U24" s="160">
        <v>46058</v>
      </c>
      <c r="V24" s="159" t="s">
        <v>1194</v>
      </c>
      <c r="W24" s="159" t="s">
        <v>215</v>
      </c>
      <c r="X24" s="159" t="s">
        <v>1192</v>
      </c>
      <c r="Y24" s="161" t="s">
        <v>1195</v>
      </c>
      <c r="Z24" s="159">
        <v>96297634</v>
      </c>
      <c r="AA24" s="159">
        <v>215</v>
      </c>
      <c r="AB24" s="162">
        <v>215</v>
      </c>
      <c r="AC24" s="159">
        <v>1091</v>
      </c>
      <c r="AD24" s="159" t="s">
        <v>736</v>
      </c>
      <c r="AE24" s="159" t="s">
        <v>9</v>
      </c>
      <c r="AF24" s="159" t="s">
        <v>9</v>
      </c>
      <c r="AG24" s="159" t="s">
        <v>9</v>
      </c>
      <c r="AH24" s="159" t="s">
        <v>9</v>
      </c>
      <c r="AI24" s="160">
        <v>46239</v>
      </c>
      <c r="AJ24" s="163" t="s">
        <v>1196</v>
      </c>
      <c r="AK24" s="159" t="s">
        <v>668</v>
      </c>
      <c r="AL24" s="103"/>
    </row>
    <row r="25" spans="1:45" ht="14.25" customHeight="1">
      <c r="A25" s="5">
        <v>19</v>
      </c>
      <c r="B25" s="5" t="s">
        <v>191</v>
      </c>
      <c r="C25" s="5" t="s">
        <v>1014</v>
      </c>
      <c r="D25" s="2">
        <v>45844</v>
      </c>
      <c r="E25" s="62">
        <v>2410</v>
      </c>
      <c r="F25" s="5" t="s">
        <v>1197</v>
      </c>
      <c r="G25" s="5" t="s">
        <v>1198</v>
      </c>
      <c r="H25" s="5" t="s">
        <v>1199</v>
      </c>
      <c r="I25" s="5" t="s">
        <v>478</v>
      </c>
      <c r="J25" s="5">
        <v>2021</v>
      </c>
      <c r="K25" s="5" t="s">
        <v>1200</v>
      </c>
      <c r="L25" s="5" t="s">
        <v>1201</v>
      </c>
      <c r="M25" s="165" t="s">
        <v>1202</v>
      </c>
      <c r="N25" s="5" t="s">
        <v>1191</v>
      </c>
      <c r="O25" s="5" t="s">
        <v>1203</v>
      </c>
      <c r="P25" s="5" t="s">
        <v>1204</v>
      </c>
      <c r="Q25" s="5" t="s">
        <v>9</v>
      </c>
      <c r="R25" s="165" t="s">
        <v>9</v>
      </c>
      <c r="S25" s="5" t="s">
        <v>9</v>
      </c>
      <c r="T25" s="5" t="s">
        <v>271</v>
      </c>
      <c r="U25" s="5"/>
      <c r="V25" s="5"/>
      <c r="W25" s="5"/>
      <c r="X25" s="5"/>
      <c r="Y25" s="165"/>
      <c r="Z25" s="5"/>
      <c r="AA25" s="5"/>
      <c r="AB25" s="71"/>
      <c r="AC25" s="5"/>
      <c r="AD25" s="5"/>
      <c r="AE25" s="5"/>
      <c r="AF25" s="5"/>
      <c r="AG25" s="5"/>
      <c r="AH25" s="5"/>
      <c r="AI25" s="5"/>
      <c r="AJ25" s="166"/>
      <c r="AK25" s="5"/>
      <c r="AL25" s="103"/>
    </row>
    <row r="26" spans="1:45" ht="14.25" customHeight="1">
      <c r="A26" s="5">
        <v>20</v>
      </c>
      <c r="B26" s="5" t="s">
        <v>191</v>
      </c>
      <c r="C26" s="5" t="s">
        <v>1014</v>
      </c>
      <c r="D26" s="2">
        <v>45844</v>
      </c>
      <c r="E26" s="62">
        <v>2411</v>
      </c>
      <c r="F26" s="5" t="s">
        <v>1205</v>
      </c>
      <c r="G26" s="5" t="s">
        <v>1206</v>
      </c>
      <c r="H26" s="5" t="s">
        <v>1207</v>
      </c>
      <c r="I26" s="5" t="s">
        <v>209</v>
      </c>
      <c r="J26" s="5">
        <v>2018</v>
      </c>
      <c r="K26" s="5" t="s">
        <v>1208</v>
      </c>
      <c r="L26" s="5" t="s">
        <v>1209</v>
      </c>
      <c r="M26" s="165" t="s">
        <v>1210</v>
      </c>
      <c r="N26" s="5" t="s">
        <v>1180</v>
      </c>
      <c r="O26" s="5" t="s">
        <v>1211</v>
      </c>
      <c r="P26" s="5" t="s">
        <v>518</v>
      </c>
      <c r="Q26" s="5" t="s">
        <v>203</v>
      </c>
      <c r="R26" s="165" t="s">
        <v>9</v>
      </c>
      <c r="S26" s="5" t="s">
        <v>9</v>
      </c>
      <c r="T26" s="5" t="s">
        <v>271</v>
      </c>
      <c r="U26" s="5"/>
      <c r="V26" s="5"/>
      <c r="W26" s="5"/>
      <c r="X26" s="5"/>
      <c r="Y26" s="165"/>
      <c r="Z26" s="5"/>
      <c r="AA26" s="5"/>
      <c r="AB26" s="71"/>
      <c r="AC26" s="5"/>
      <c r="AD26" s="5"/>
      <c r="AE26" s="5"/>
      <c r="AF26" s="5"/>
      <c r="AG26" s="5"/>
      <c r="AH26" s="5"/>
      <c r="AI26" s="5"/>
      <c r="AJ26" s="166"/>
      <c r="AK26" s="5"/>
      <c r="AL26" s="103"/>
    </row>
    <row r="27" spans="1:45" ht="14.25" customHeight="1">
      <c r="A27" s="5">
        <v>21</v>
      </c>
      <c r="B27" s="5" t="s">
        <v>191</v>
      </c>
      <c r="C27" s="5" t="s">
        <v>1014</v>
      </c>
      <c r="D27" s="2">
        <v>45845</v>
      </c>
      <c r="E27" s="62">
        <v>2413</v>
      </c>
      <c r="F27" s="5" t="s">
        <v>1212</v>
      </c>
      <c r="G27" s="5" t="s">
        <v>1213</v>
      </c>
      <c r="H27" s="5" t="s">
        <v>1214</v>
      </c>
      <c r="I27" s="5" t="s">
        <v>478</v>
      </c>
      <c r="J27" s="5">
        <v>2013</v>
      </c>
      <c r="K27" s="5" t="s">
        <v>1215</v>
      </c>
      <c r="L27" s="5" t="s">
        <v>1216</v>
      </c>
      <c r="M27" s="165" t="s">
        <v>1217</v>
      </c>
      <c r="N27" s="5" t="s">
        <v>1218</v>
      </c>
      <c r="O27" s="5" t="s">
        <v>1219</v>
      </c>
      <c r="P27" s="5" t="s">
        <v>492</v>
      </c>
      <c r="Q27" s="5" t="s">
        <v>9</v>
      </c>
      <c r="R27" s="165" t="s">
        <v>9</v>
      </c>
      <c r="S27" s="5" t="s">
        <v>9</v>
      </c>
      <c r="T27" s="5" t="s">
        <v>271</v>
      </c>
      <c r="U27" s="5"/>
      <c r="V27" s="5"/>
      <c r="W27" s="5"/>
      <c r="X27" s="5"/>
      <c r="Y27" s="165"/>
      <c r="Z27" s="5"/>
      <c r="AA27" s="5"/>
      <c r="AB27" s="71"/>
      <c r="AC27" s="5"/>
      <c r="AD27" s="5"/>
      <c r="AE27" s="5"/>
      <c r="AF27" s="5"/>
      <c r="AG27" s="5"/>
      <c r="AH27" s="5"/>
      <c r="AI27" s="5"/>
      <c r="AJ27" s="166"/>
      <c r="AK27" s="5"/>
      <c r="AL27" s="103"/>
    </row>
    <row r="28" spans="1:45" ht="14.25" customHeight="1">
      <c r="A28" s="109">
        <v>22</v>
      </c>
      <c r="B28" s="109" t="s">
        <v>191</v>
      </c>
      <c r="C28" s="109" t="s">
        <v>1014</v>
      </c>
      <c r="D28" s="167">
        <v>45845</v>
      </c>
      <c r="E28" s="109">
        <v>2414</v>
      </c>
      <c r="F28" s="109" t="s">
        <v>1220</v>
      </c>
      <c r="G28" s="109" t="s">
        <v>1198</v>
      </c>
      <c r="H28" s="109" t="s">
        <v>1221</v>
      </c>
      <c r="I28" s="109" t="s">
        <v>306</v>
      </c>
      <c r="J28" s="109">
        <v>2023</v>
      </c>
      <c r="K28" s="109" t="s">
        <v>1222</v>
      </c>
      <c r="L28" s="109" t="s">
        <v>1223</v>
      </c>
      <c r="M28" s="168" t="s">
        <v>1224</v>
      </c>
      <c r="N28" s="109" t="s">
        <v>560</v>
      </c>
      <c r="O28" s="109" t="s">
        <v>1225</v>
      </c>
      <c r="P28" s="109" t="s">
        <v>1226</v>
      </c>
      <c r="Q28" s="109"/>
      <c r="R28" s="168" t="s">
        <v>9</v>
      </c>
      <c r="S28" s="109" t="s">
        <v>9</v>
      </c>
      <c r="T28" s="109" t="s">
        <v>271</v>
      </c>
      <c r="U28" s="167">
        <v>45846</v>
      </c>
      <c r="V28" s="109" t="s">
        <v>1227</v>
      </c>
      <c r="W28" s="109" t="s">
        <v>1228</v>
      </c>
      <c r="X28" s="109" t="s">
        <v>1229</v>
      </c>
      <c r="Y28" s="168"/>
      <c r="Z28" s="109"/>
      <c r="AA28" s="109"/>
      <c r="AB28" s="169"/>
      <c r="AC28" s="109"/>
      <c r="AD28" s="109" t="s">
        <v>1230</v>
      </c>
      <c r="AE28" s="109"/>
      <c r="AF28" s="109"/>
      <c r="AG28" s="109"/>
      <c r="AH28" s="109"/>
      <c r="AI28" s="109"/>
      <c r="AJ28" s="170"/>
      <c r="AK28" s="109"/>
      <c r="AL28" s="103"/>
      <c r="AM28" s="10"/>
      <c r="AN28" s="10"/>
      <c r="AO28" s="10"/>
      <c r="AP28" s="10"/>
      <c r="AQ28" s="10"/>
      <c r="AR28" s="10"/>
      <c r="AS28" s="10"/>
    </row>
    <row r="29" spans="1:45" ht="14.25" customHeight="1">
      <c r="A29" s="5">
        <v>23</v>
      </c>
      <c r="B29" s="5" t="s">
        <v>191</v>
      </c>
      <c r="C29" s="5" t="s">
        <v>1014</v>
      </c>
      <c r="D29" s="2">
        <v>45849</v>
      </c>
      <c r="E29" s="5">
        <v>2419</v>
      </c>
      <c r="F29" s="5" t="s">
        <v>1231</v>
      </c>
      <c r="G29" s="5" t="s">
        <v>1071</v>
      </c>
      <c r="H29" s="5" t="s">
        <v>1232</v>
      </c>
      <c r="I29" s="5" t="s">
        <v>478</v>
      </c>
      <c r="J29" s="5">
        <v>2022</v>
      </c>
      <c r="K29" s="5" t="s">
        <v>1233</v>
      </c>
      <c r="L29" s="5" t="s">
        <v>1234</v>
      </c>
      <c r="M29" s="165" t="s">
        <v>1235</v>
      </c>
      <c r="N29" s="5" t="s">
        <v>1236</v>
      </c>
      <c r="O29" s="5" t="s">
        <v>1237</v>
      </c>
      <c r="P29" s="5" t="s">
        <v>518</v>
      </c>
      <c r="Q29" s="5" t="s">
        <v>203</v>
      </c>
      <c r="R29" s="165" t="s">
        <v>9</v>
      </c>
      <c r="S29" s="5" t="s">
        <v>9</v>
      </c>
      <c r="T29" s="5" t="s">
        <v>736</v>
      </c>
      <c r="U29" s="5"/>
      <c r="V29" s="5"/>
      <c r="W29" s="5"/>
      <c r="X29" s="5"/>
      <c r="Y29" s="165"/>
      <c r="Z29" s="5"/>
      <c r="AA29" s="5"/>
      <c r="AB29" s="71"/>
      <c r="AC29" s="5"/>
      <c r="AD29" s="5"/>
      <c r="AE29" s="5"/>
      <c r="AF29" s="5"/>
      <c r="AG29" s="5"/>
      <c r="AH29" s="5"/>
      <c r="AI29" s="5"/>
      <c r="AJ29" s="166"/>
      <c r="AK29" s="5"/>
      <c r="AL29" s="103"/>
    </row>
    <row r="30" spans="1:45" ht="14.25" customHeight="1">
      <c r="A30" s="159">
        <v>24</v>
      </c>
      <c r="B30" s="159" t="s">
        <v>191</v>
      </c>
      <c r="C30" s="159" t="s">
        <v>1014</v>
      </c>
      <c r="D30" s="160">
        <v>45849</v>
      </c>
      <c r="E30" s="159">
        <v>2420</v>
      </c>
      <c r="F30" s="159" t="s">
        <v>1238</v>
      </c>
      <c r="G30" s="159" t="s">
        <v>1206</v>
      </c>
      <c r="H30" s="159" t="s">
        <v>1239</v>
      </c>
      <c r="I30" s="159" t="s">
        <v>458</v>
      </c>
      <c r="J30" s="159">
        <v>2024</v>
      </c>
      <c r="K30" s="159" t="s">
        <v>1240</v>
      </c>
      <c r="L30" s="159" t="s">
        <v>1241</v>
      </c>
      <c r="M30" s="159" t="s">
        <v>1242</v>
      </c>
      <c r="N30" s="159" t="s">
        <v>912</v>
      </c>
      <c r="O30" s="159" t="s">
        <v>1243</v>
      </c>
      <c r="P30" s="159" t="s">
        <v>518</v>
      </c>
      <c r="Q30" s="159" t="s">
        <v>203</v>
      </c>
      <c r="R30" s="159" t="s">
        <v>9</v>
      </c>
      <c r="S30" s="159" t="s">
        <v>9</v>
      </c>
      <c r="T30" s="159" t="s">
        <v>736</v>
      </c>
      <c r="U30" s="160">
        <v>45875</v>
      </c>
      <c r="V30" s="159" t="s">
        <v>1244</v>
      </c>
      <c r="W30" s="159" t="s">
        <v>215</v>
      </c>
      <c r="X30" s="159" t="s">
        <v>1245</v>
      </c>
      <c r="Y30" s="159">
        <v>2300250087</v>
      </c>
      <c r="Z30" s="159">
        <v>91040241</v>
      </c>
      <c r="AA30" s="159">
        <v>27</v>
      </c>
      <c r="AB30" s="162">
        <v>27</v>
      </c>
      <c r="AC30" s="159">
        <v>2420</v>
      </c>
      <c r="AD30" s="159" t="s">
        <v>271</v>
      </c>
      <c r="AE30" s="159" t="s">
        <v>9</v>
      </c>
      <c r="AF30" s="159" t="s">
        <v>9</v>
      </c>
      <c r="AG30" s="159" t="s">
        <v>1246</v>
      </c>
      <c r="AH30" s="159" t="s">
        <v>1247</v>
      </c>
      <c r="AI30" s="160">
        <v>45875</v>
      </c>
      <c r="AJ30" s="159">
        <v>16296589</v>
      </c>
      <c r="AK30" s="159" t="s">
        <v>514</v>
      </c>
    </row>
    <row r="31" spans="1:45" ht="14.25" customHeight="1">
      <c r="A31" s="5">
        <v>25</v>
      </c>
      <c r="B31" s="5" t="s">
        <v>191</v>
      </c>
      <c r="C31" s="5" t="s">
        <v>1014</v>
      </c>
      <c r="D31" s="2">
        <v>45849</v>
      </c>
      <c r="E31" s="5">
        <v>2421</v>
      </c>
      <c r="F31" s="5" t="s">
        <v>1248</v>
      </c>
      <c r="G31" s="5" t="s">
        <v>1249</v>
      </c>
      <c r="H31" s="5" t="s">
        <v>1250</v>
      </c>
      <c r="I31" s="5" t="s">
        <v>306</v>
      </c>
      <c r="J31" s="5">
        <v>2023</v>
      </c>
      <c r="K31" s="5" t="s">
        <v>1251</v>
      </c>
      <c r="L31" s="5" t="s">
        <v>1252</v>
      </c>
      <c r="M31" s="165" t="s">
        <v>1253</v>
      </c>
      <c r="N31" s="5" t="s">
        <v>1254</v>
      </c>
      <c r="O31" s="5" t="s">
        <v>1255</v>
      </c>
      <c r="P31" s="5" t="s">
        <v>492</v>
      </c>
      <c r="Q31" s="5" t="s">
        <v>9</v>
      </c>
      <c r="R31" s="165" t="s">
        <v>9</v>
      </c>
      <c r="S31" s="5" t="s">
        <v>9</v>
      </c>
      <c r="T31" s="5" t="s">
        <v>736</v>
      </c>
      <c r="U31" s="5"/>
      <c r="V31" s="5"/>
      <c r="W31" s="5"/>
      <c r="X31" s="5"/>
      <c r="Y31" s="165"/>
      <c r="Z31" s="5"/>
      <c r="AA31" s="5"/>
      <c r="AB31" s="71"/>
      <c r="AC31" s="5"/>
      <c r="AD31" s="5"/>
      <c r="AE31" s="5"/>
      <c r="AF31" s="5"/>
      <c r="AG31" s="5"/>
      <c r="AH31" s="5"/>
      <c r="AI31" s="5"/>
      <c r="AJ31" s="166"/>
      <c r="AK31" s="5"/>
      <c r="AL31" s="103"/>
    </row>
    <row r="32" spans="1:45" ht="14.25" customHeight="1">
      <c r="A32" s="5">
        <v>26</v>
      </c>
      <c r="B32" s="5" t="s">
        <v>191</v>
      </c>
      <c r="C32" s="5" t="s">
        <v>1014</v>
      </c>
      <c r="D32" s="2">
        <v>45851</v>
      </c>
      <c r="E32" s="5">
        <v>2424</v>
      </c>
      <c r="F32" s="5" t="s">
        <v>1256</v>
      </c>
      <c r="G32" s="5" t="s">
        <v>1144</v>
      </c>
      <c r="H32" s="5" t="s">
        <v>1257</v>
      </c>
      <c r="I32" s="5" t="s">
        <v>478</v>
      </c>
      <c r="J32" s="5">
        <v>2022</v>
      </c>
      <c r="K32" s="5" t="s">
        <v>1258</v>
      </c>
      <c r="L32" s="5" t="s">
        <v>1259</v>
      </c>
      <c r="M32" s="165" t="s">
        <v>1260</v>
      </c>
      <c r="N32" s="5" t="s">
        <v>912</v>
      </c>
      <c r="O32" s="5" t="s">
        <v>1261</v>
      </c>
      <c r="P32" s="5" t="s">
        <v>1262</v>
      </c>
      <c r="Q32" s="5" t="s">
        <v>9</v>
      </c>
      <c r="R32" s="165" t="s">
        <v>9</v>
      </c>
      <c r="S32" s="5" t="s">
        <v>9</v>
      </c>
      <c r="T32" s="5" t="s">
        <v>736</v>
      </c>
      <c r="U32" s="5"/>
      <c r="V32" s="5"/>
      <c r="W32" s="5"/>
      <c r="X32" s="5"/>
      <c r="Y32" s="165" t="s">
        <v>140</v>
      </c>
      <c r="Z32" s="5"/>
      <c r="AA32" s="5"/>
      <c r="AB32" s="71"/>
      <c r="AC32" s="5"/>
      <c r="AD32" s="5"/>
      <c r="AE32" s="5"/>
      <c r="AF32" s="5"/>
      <c r="AG32" s="5"/>
      <c r="AH32" s="5"/>
      <c r="AI32" s="5"/>
      <c r="AJ32" s="166"/>
      <c r="AK32" s="5"/>
      <c r="AL32" s="103"/>
    </row>
    <row r="33" spans="1:45" ht="14.25" customHeight="1">
      <c r="A33" s="159">
        <v>27</v>
      </c>
      <c r="B33" s="159" t="s">
        <v>191</v>
      </c>
      <c r="C33" s="159" t="s">
        <v>1014</v>
      </c>
      <c r="D33" s="160">
        <v>45855</v>
      </c>
      <c r="E33" s="159">
        <v>2425</v>
      </c>
      <c r="F33" s="159" t="s">
        <v>1263</v>
      </c>
      <c r="G33" s="159" t="s">
        <v>194</v>
      </c>
      <c r="H33" s="159" t="s">
        <v>1264</v>
      </c>
      <c r="I33" s="159" t="s">
        <v>306</v>
      </c>
      <c r="J33" s="159">
        <v>2021</v>
      </c>
      <c r="K33" s="159" t="s">
        <v>1265</v>
      </c>
      <c r="L33" s="159" t="s">
        <v>1266</v>
      </c>
      <c r="M33" s="159" t="s">
        <v>1267</v>
      </c>
      <c r="N33" s="159" t="s">
        <v>212</v>
      </c>
      <c r="O33" s="159" t="s">
        <v>1268</v>
      </c>
      <c r="P33" s="159" t="s">
        <v>492</v>
      </c>
      <c r="Q33" s="159" t="s">
        <v>9</v>
      </c>
      <c r="R33" s="159" t="s">
        <v>9</v>
      </c>
      <c r="S33" s="159" t="s">
        <v>9</v>
      </c>
      <c r="T33" s="159" t="s">
        <v>271</v>
      </c>
      <c r="U33" s="160">
        <v>45861</v>
      </c>
      <c r="V33" s="159" t="s">
        <v>1269</v>
      </c>
      <c r="W33" s="159" t="s">
        <v>215</v>
      </c>
      <c r="X33" s="159" t="s">
        <v>1270</v>
      </c>
      <c r="Y33" s="159">
        <v>1351871866</v>
      </c>
      <c r="Z33" s="159">
        <v>90668653</v>
      </c>
      <c r="AA33" s="159">
        <v>7</v>
      </c>
      <c r="AB33" s="162">
        <v>7</v>
      </c>
      <c r="AC33" s="159">
        <v>2425</v>
      </c>
      <c r="AD33" s="159" t="s">
        <v>271</v>
      </c>
      <c r="AE33" s="159" t="s">
        <v>9</v>
      </c>
      <c r="AF33" s="159" t="s">
        <v>9</v>
      </c>
      <c r="AG33" s="159" t="s">
        <v>9</v>
      </c>
      <c r="AH33" s="159" t="s">
        <v>9</v>
      </c>
      <c r="AI33" s="160">
        <v>45861</v>
      </c>
      <c r="AJ33" s="163">
        <v>16225136</v>
      </c>
      <c r="AK33" s="159" t="s">
        <v>248</v>
      </c>
      <c r="AL33" s="103"/>
      <c r="AM33" s="10"/>
      <c r="AN33" s="10"/>
      <c r="AO33" s="10"/>
      <c r="AP33" s="10"/>
      <c r="AQ33" s="10"/>
      <c r="AR33" s="10"/>
      <c r="AS33" s="10"/>
    </row>
    <row r="34" spans="1:45" ht="14.25" customHeight="1">
      <c r="A34" s="5">
        <v>28</v>
      </c>
      <c r="B34" s="5" t="s">
        <v>191</v>
      </c>
      <c r="C34" s="5" t="s">
        <v>1014</v>
      </c>
      <c r="D34" s="2">
        <v>45855</v>
      </c>
      <c r="E34" s="5">
        <v>2426</v>
      </c>
      <c r="F34" s="5" t="s">
        <v>1271</v>
      </c>
      <c r="G34" s="5" t="s">
        <v>1144</v>
      </c>
      <c r="H34" s="5" t="s">
        <v>1272</v>
      </c>
      <c r="I34" s="5" t="s">
        <v>306</v>
      </c>
      <c r="J34" s="5">
        <v>2014</v>
      </c>
      <c r="K34" s="5" t="s">
        <v>1273</v>
      </c>
      <c r="L34" s="5" t="s">
        <v>1274</v>
      </c>
      <c r="M34" s="165" t="s">
        <v>1275</v>
      </c>
      <c r="N34" s="5" t="s">
        <v>212</v>
      </c>
      <c r="O34" s="5" t="s">
        <v>1276</v>
      </c>
      <c r="P34" s="5" t="s">
        <v>492</v>
      </c>
      <c r="Q34" s="5" t="s">
        <v>9</v>
      </c>
      <c r="R34" s="165" t="s">
        <v>9</v>
      </c>
      <c r="S34" s="5" t="s">
        <v>9</v>
      </c>
      <c r="T34" s="5" t="s">
        <v>271</v>
      </c>
      <c r="U34" s="5"/>
      <c r="V34" s="5"/>
      <c r="W34" s="5"/>
      <c r="X34" s="5"/>
      <c r="Y34" s="165"/>
      <c r="Z34" s="5"/>
      <c r="AA34" s="5"/>
      <c r="AB34" s="71"/>
      <c r="AC34" s="5"/>
      <c r="AD34" s="5"/>
      <c r="AE34" s="5"/>
      <c r="AF34" s="5"/>
      <c r="AG34" s="5"/>
      <c r="AH34" s="5"/>
      <c r="AI34" s="5"/>
      <c r="AJ34" s="166"/>
      <c r="AK34" s="5"/>
      <c r="AL34" s="103"/>
    </row>
    <row r="35" spans="1:45" ht="14.25" customHeight="1">
      <c r="A35" s="5">
        <v>29</v>
      </c>
      <c r="B35" s="5" t="s">
        <v>191</v>
      </c>
      <c r="C35" s="5" t="s">
        <v>1014</v>
      </c>
      <c r="D35" s="2">
        <v>45858</v>
      </c>
      <c r="E35" s="5">
        <v>2428</v>
      </c>
      <c r="F35" s="5" t="s">
        <v>1277</v>
      </c>
      <c r="G35" s="5" t="s">
        <v>1144</v>
      </c>
      <c r="H35" s="5" t="s">
        <v>1278</v>
      </c>
      <c r="I35" s="5" t="s">
        <v>306</v>
      </c>
      <c r="J35" s="5">
        <v>2025</v>
      </c>
      <c r="K35" s="5" t="s">
        <v>1279</v>
      </c>
      <c r="L35" s="5" t="s">
        <v>1280</v>
      </c>
      <c r="M35" s="165" t="s">
        <v>1281</v>
      </c>
      <c r="N35" s="5" t="s">
        <v>1236</v>
      </c>
      <c r="O35" s="5" t="s">
        <v>1282</v>
      </c>
      <c r="P35" s="5" t="s">
        <v>518</v>
      </c>
      <c r="Q35" s="5" t="s">
        <v>203</v>
      </c>
      <c r="R35" s="165" t="s">
        <v>9</v>
      </c>
      <c r="S35" s="5" t="s">
        <v>9</v>
      </c>
      <c r="T35" s="5" t="s">
        <v>271</v>
      </c>
      <c r="U35" s="5"/>
      <c r="V35" s="5"/>
      <c r="W35" s="5"/>
      <c r="X35" s="5"/>
      <c r="Y35" s="165"/>
      <c r="Z35" s="5"/>
      <c r="AA35" s="5"/>
      <c r="AB35" s="71"/>
      <c r="AC35" s="5"/>
      <c r="AD35" s="5"/>
      <c r="AE35" s="5"/>
      <c r="AF35" s="5"/>
      <c r="AG35" s="5"/>
      <c r="AH35" s="5"/>
      <c r="AI35" s="5"/>
      <c r="AJ35" s="166"/>
      <c r="AK35" s="5"/>
      <c r="AL35" s="103"/>
    </row>
    <row r="36" spans="1:45" ht="14.25" customHeight="1">
      <c r="A36" s="159">
        <v>30</v>
      </c>
      <c r="B36" s="159" t="s">
        <v>191</v>
      </c>
      <c r="C36" s="159" t="s">
        <v>1014</v>
      </c>
      <c r="D36" s="160">
        <v>45858</v>
      </c>
      <c r="E36" s="159">
        <v>2429</v>
      </c>
      <c r="F36" s="159" t="s">
        <v>1283</v>
      </c>
      <c r="G36" s="159" t="s">
        <v>1284</v>
      </c>
      <c r="H36" s="159" t="s">
        <v>1285</v>
      </c>
      <c r="I36" s="159" t="s">
        <v>478</v>
      </c>
      <c r="J36" s="159">
        <v>2025</v>
      </c>
      <c r="K36" s="159" t="s">
        <v>1286</v>
      </c>
      <c r="L36" s="159" t="s">
        <v>1287</v>
      </c>
      <c r="M36" s="159" t="s">
        <v>1288</v>
      </c>
      <c r="N36" s="159" t="s">
        <v>1289</v>
      </c>
      <c r="O36" s="159" t="s">
        <v>1290</v>
      </c>
      <c r="P36" s="159" t="s">
        <v>518</v>
      </c>
      <c r="Q36" s="159" t="s">
        <v>203</v>
      </c>
      <c r="R36" s="159" t="s">
        <v>9</v>
      </c>
      <c r="S36" s="159" t="s">
        <v>9</v>
      </c>
      <c r="T36" s="159" t="s">
        <v>271</v>
      </c>
      <c r="U36" s="160">
        <v>45881</v>
      </c>
      <c r="V36" s="159" t="s">
        <v>1291</v>
      </c>
      <c r="W36" s="159" t="s">
        <v>215</v>
      </c>
      <c r="X36" s="159" t="s">
        <v>1290</v>
      </c>
      <c r="Y36" s="159">
        <v>751342098</v>
      </c>
      <c r="Z36" s="159">
        <v>91186452</v>
      </c>
      <c r="AA36" s="159">
        <v>24</v>
      </c>
      <c r="AB36" s="162">
        <v>24</v>
      </c>
      <c r="AC36" s="159">
        <v>2429</v>
      </c>
      <c r="AD36" s="159" t="s">
        <v>271</v>
      </c>
      <c r="AE36" s="159" t="s">
        <v>9</v>
      </c>
      <c r="AF36" s="159" t="s">
        <v>9</v>
      </c>
      <c r="AG36" s="159" t="s">
        <v>1111</v>
      </c>
      <c r="AH36" s="159" t="s">
        <v>522</v>
      </c>
      <c r="AI36" s="160">
        <v>45881</v>
      </c>
      <c r="AJ36" s="159">
        <v>209257158</v>
      </c>
      <c r="AK36" s="159" t="s">
        <v>1292</v>
      </c>
      <c r="AL36" s="62"/>
      <c r="AM36" s="62"/>
      <c r="AN36" s="62"/>
      <c r="AO36" s="62"/>
      <c r="AP36" s="62"/>
      <c r="AQ36" s="62"/>
      <c r="AR36" s="62"/>
      <c r="AS36" s="62"/>
    </row>
    <row r="37" spans="1:45" ht="14.25" customHeight="1">
      <c r="A37" s="159">
        <v>31</v>
      </c>
      <c r="B37" s="159" t="s">
        <v>191</v>
      </c>
      <c r="C37" s="159" t="s">
        <v>1014</v>
      </c>
      <c r="D37" s="160">
        <v>45868</v>
      </c>
      <c r="E37" s="159">
        <v>2434</v>
      </c>
      <c r="F37" s="159" t="s">
        <v>1293</v>
      </c>
      <c r="G37" s="159" t="s">
        <v>1249</v>
      </c>
      <c r="H37" s="159" t="s">
        <v>1250</v>
      </c>
      <c r="I37" s="159" t="s">
        <v>306</v>
      </c>
      <c r="J37" s="159">
        <v>2025</v>
      </c>
      <c r="K37" s="159" t="s">
        <v>1294</v>
      </c>
      <c r="L37" s="159" t="s">
        <v>1295</v>
      </c>
      <c r="M37" s="161" t="s">
        <v>1296</v>
      </c>
      <c r="N37" s="159" t="s">
        <v>949</v>
      </c>
      <c r="O37" s="159" t="s">
        <v>1297</v>
      </c>
      <c r="P37" s="159" t="s">
        <v>518</v>
      </c>
      <c r="Q37" s="159" t="s">
        <v>203</v>
      </c>
      <c r="R37" s="161" t="s">
        <v>9</v>
      </c>
      <c r="S37" s="159" t="s">
        <v>9</v>
      </c>
      <c r="T37" s="159" t="s">
        <v>736</v>
      </c>
      <c r="U37" s="160">
        <v>45877</v>
      </c>
      <c r="V37" s="159" t="s">
        <v>1298</v>
      </c>
      <c r="W37" s="159" t="s">
        <v>215</v>
      </c>
      <c r="X37" s="159" t="s">
        <v>1299</v>
      </c>
      <c r="Y37" s="161" t="s">
        <v>1300</v>
      </c>
      <c r="Z37" s="159">
        <v>91125437</v>
      </c>
      <c r="AA37" s="159">
        <v>10</v>
      </c>
      <c r="AB37" s="162">
        <v>10</v>
      </c>
      <c r="AC37" s="159">
        <v>2434</v>
      </c>
      <c r="AD37" s="159" t="s">
        <v>736</v>
      </c>
      <c r="AE37" s="159" t="s">
        <v>9</v>
      </c>
      <c r="AF37" s="159" t="s">
        <v>9</v>
      </c>
      <c r="AG37" s="159" t="s">
        <v>1301</v>
      </c>
      <c r="AH37" s="159" t="s">
        <v>1123</v>
      </c>
      <c r="AI37" s="160">
        <v>45877</v>
      </c>
      <c r="AJ37" s="163" t="s">
        <v>1302</v>
      </c>
      <c r="AK37" s="159" t="s">
        <v>1292</v>
      </c>
      <c r="AL37" s="103"/>
      <c r="AM37" s="103"/>
      <c r="AN37" s="103"/>
      <c r="AO37" s="103"/>
      <c r="AP37" s="103"/>
      <c r="AQ37" s="103"/>
      <c r="AR37" s="103"/>
      <c r="AS37" s="103"/>
    </row>
    <row r="38" spans="1:45" ht="14.25" customHeight="1">
      <c r="A38" s="159">
        <v>32</v>
      </c>
      <c r="B38" s="159" t="s">
        <v>191</v>
      </c>
      <c r="C38" s="159" t="s">
        <v>1014</v>
      </c>
      <c r="D38" s="160">
        <v>45873</v>
      </c>
      <c r="E38" s="159">
        <v>2436</v>
      </c>
      <c r="F38" s="159" t="s">
        <v>1303</v>
      </c>
      <c r="G38" s="159" t="s">
        <v>194</v>
      </c>
      <c r="H38" s="159" t="s">
        <v>1304</v>
      </c>
      <c r="I38" s="159" t="s">
        <v>478</v>
      </c>
      <c r="J38" s="159">
        <v>2014</v>
      </c>
      <c r="K38" s="159" t="s">
        <v>1305</v>
      </c>
      <c r="L38" s="159" t="s">
        <v>1306</v>
      </c>
      <c r="M38" s="159" t="s">
        <v>1307</v>
      </c>
      <c r="N38" s="159" t="s">
        <v>912</v>
      </c>
      <c r="O38" s="159" t="s">
        <v>1308</v>
      </c>
      <c r="P38" s="159" t="s">
        <v>492</v>
      </c>
      <c r="Q38" s="159" t="s">
        <v>9</v>
      </c>
      <c r="R38" s="159" t="s">
        <v>9</v>
      </c>
      <c r="S38" s="159" t="s">
        <v>9</v>
      </c>
      <c r="T38" s="159" t="s">
        <v>271</v>
      </c>
      <c r="U38" s="160">
        <v>45881</v>
      </c>
      <c r="V38" s="159" t="s">
        <v>1309</v>
      </c>
      <c r="W38" s="159" t="s">
        <v>215</v>
      </c>
      <c r="X38" s="159" t="s">
        <v>1310</v>
      </c>
      <c r="Y38" s="159">
        <v>1724862493</v>
      </c>
      <c r="Z38" s="159">
        <v>91162269</v>
      </c>
      <c r="AA38" s="159">
        <v>9</v>
      </c>
      <c r="AB38" s="162">
        <v>9</v>
      </c>
      <c r="AC38" s="159">
        <v>2436</v>
      </c>
      <c r="AD38" s="159" t="s">
        <v>271</v>
      </c>
      <c r="AE38" s="159" t="s">
        <v>9</v>
      </c>
      <c r="AF38" s="159" t="s">
        <v>9</v>
      </c>
      <c r="AG38" s="159" t="s">
        <v>9</v>
      </c>
      <c r="AH38" s="159" t="s">
        <v>9</v>
      </c>
      <c r="AI38" s="160">
        <v>45881</v>
      </c>
      <c r="AJ38" s="159">
        <v>16323133</v>
      </c>
      <c r="AK38" s="159" t="s">
        <v>248</v>
      </c>
      <c r="AL38" s="62"/>
      <c r="AM38" s="62"/>
      <c r="AN38" s="62"/>
      <c r="AO38" s="62"/>
      <c r="AP38" s="62"/>
      <c r="AQ38" s="62"/>
      <c r="AR38" s="62"/>
      <c r="AS38" s="62"/>
    </row>
    <row r="39" spans="1:45" ht="14.25" customHeight="1">
      <c r="A39" s="5">
        <v>33</v>
      </c>
      <c r="B39" s="5" t="s">
        <v>191</v>
      </c>
      <c r="C39" s="5" t="s">
        <v>1014</v>
      </c>
      <c r="D39" s="2">
        <v>45878</v>
      </c>
      <c r="E39" s="5">
        <v>2438</v>
      </c>
      <c r="F39" s="5" t="s">
        <v>1311</v>
      </c>
      <c r="G39" s="5" t="s">
        <v>1249</v>
      </c>
      <c r="H39" s="5" t="s">
        <v>1312</v>
      </c>
      <c r="I39" s="5" t="s">
        <v>478</v>
      </c>
      <c r="J39" s="5">
        <v>2020</v>
      </c>
      <c r="K39" s="5" t="s">
        <v>1313</v>
      </c>
      <c r="L39" s="5" t="s">
        <v>1314</v>
      </c>
      <c r="M39" s="165" t="s">
        <v>1315</v>
      </c>
      <c r="N39" s="5" t="s">
        <v>912</v>
      </c>
      <c r="O39" s="5" t="s">
        <v>1316</v>
      </c>
      <c r="P39" s="5" t="s">
        <v>518</v>
      </c>
      <c r="Q39" s="5" t="s">
        <v>203</v>
      </c>
      <c r="R39" s="165" t="s">
        <v>9</v>
      </c>
      <c r="S39" s="5" t="s">
        <v>9</v>
      </c>
      <c r="T39" s="5" t="s">
        <v>736</v>
      </c>
      <c r="U39" s="5"/>
      <c r="V39" s="5"/>
      <c r="W39" s="5"/>
      <c r="X39" s="5"/>
      <c r="Y39" s="165"/>
      <c r="Z39" s="5"/>
      <c r="AA39" s="5"/>
      <c r="AB39" s="71"/>
      <c r="AC39" s="5"/>
      <c r="AD39" s="5"/>
      <c r="AE39" s="5"/>
      <c r="AF39" s="5"/>
      <c r="AG39" s="5"/>
      <c r="AH39" s="5"/>
      <c r="AI39" s="5"/>
      <c r="AJ39" s="166"/>
      <c r="AK39" s="5"/>
      <c r="AL39" s="103"/>
    </row>
    <row r="40" spans="1:45" ht="14.25" customHeight="1">
      <c r="A40" s="5">
        <v>34</v>
      </c>
      <c r="B40" s="5" t="s">
        <v>191</v>
      </c>
      <c r="C40" s="5" t="s">
        <v>1014</v>
      </c>
      <c r="D40" s="2">
        <v>45882</v>
      </c>
      <c r="E40" s="5">
        <v>2443</v>
      </c>
      <c r="F40" s="5" t="s">
        <v>1317</v>
      </c>
      <c r="G40" s="5" t="s">
        <v>1081</v>
      </c>
      <c r="H40" s="5" t="s">
        <v>1318</v>
      </c>
      <c r="I40" s="5" t="s">
        <v>196</v>
      </c>
      <c r="J40" s="5">
        <v>2024</v>
      </c>
      <c r="K40" s="5" t="s">
        <v>1319</v>
      </c>
      <c r="L40" s="5" t="s">
        <v>1320</v>
      </c>
      <c r="M40" s="165" t="s">
        <v>1321</v>
      </c>
      <c r="N40" s="5" t="s">
        <v>977</v>
      </c>
      <c r="O40" s="5" t="s">
        <v>1322</v>
      </c>
      <c r="P40" s="5" t="s">
        <v>518</v>
      </c>
      <c r="Q40" s="5" t="s">
        <v>203</v>
      </c>
      <c r="R40" s="165" t="s">
        <v>9</v>
      </c>
      <c r="S40" s="5" t="s">
        <v>9</v>
      </c>
      <c r="T40" s="5" t="s">
        <v>271</v>
      </c>
      <c r="U40" s="5"/>
      <c r="V40" s="5"/>
      <c r="W40" s="5"/>
      <c r="X40" s="5"/>
      <c r="Y40" s="165"/>
      <c r="Z40" s="5"/>
      <c r="AA40" s="5"/>
      <c r="AB40" s="71"/>
      <c r="AC40" s="5"/>
      <c r="AD40" s="5"/>
      <c r="AE40" s="5"/>
      <c r="AF40" s="5"/>
      <c r="AG40" s="5"/>
      <c r="AH40" s="5"/>
      <c r="AI40" s="5"/>
      <c r="AJ40" s="166"/>
      <c r="AK40" s="5"/>
      <c r="AL40" s="103"/>
    </row>
    <row r="41" spans="1:45" ht="14.25" customHeight="1">
      <c r="A41" s="5">
        <v>35</v>
      </c>
      <c r="B41" s="5" t="s">
        <v>191</v>
      </c>
      <c r="C41" s="5" t="s">
        <v>1014</v>
      </c>
      <c r="D41" s="2">
        <v>45883</v>
      </c>
      <c r="E41" s="5">
        <v>2444</v>
      </c>
      <c r="F41" s="5" t="s">
        <v>1323</v>
      </c>
      <c r="G41" s="5" t="s">
        <v>1126</v>
      </c>
      <c r="H41" s="5" t="s">
        <v>1127</v>
      </c>
      <c r="I41" s="5" t="s">
        <v>306</v>
      </c>
      <c r="J41" s="5">
        <v>2015</v>
      </c>
      <c r="K41" s="5" t="s">
        <v>1324</v>
      </c>
      <c r="L41" s="5" t="s">
        <v>1325</v>
      </c>
      <c r="M41" s="165" t="s">
        <v>1326</v>
      </c>
      <c r="N41" s="5" t="s">
        <v>1076</v>
      </c>
      <c r="O41" s="5" t="s">
        <v>1327</v>
      </c>
      <c r="P41" s="5" t="s">
        <v>492</v>
      </c>
      <c r="Q41" s="5" t="s">
        <v>9</v>
      </c>
      <c r="R41" s="165" t="s">
        <v>9</v>
      </c>
      <c r="S41" s="5" t="s">
        <v>9</v>
      </c>
      <c r="T41" s="5" t="s">
        <v>271</v>
      </c>
      <c r="U41" s="5"/>
      <c r="V41" s="5"/>
      <c r="W41" s="5"/>
      <c r="X41" s="5"/>
      <c r="Y41" s="165"/>
      <c r="Z41" s="5"/>
      <c r="AA41" s="5"/>
      <c r="AB41" s="71"/>
      <c r="AC41" s="5"/>
      <c r="AD41" s="5"/>
      <c r="AE41" s="5"/>
      <c r="AF41" s="5"/>
      <c r="AG41" s="5"/>
      <c r="AH41" s="5"/>
      <c r="AI41" s="5"/>
      <c r="AJ41" s="166"/>
      <c r="AK41" s="5"/>
    </row>
    <row r="42" spans="1:45" ht="14.25" customHeight="1">
      <c r="A42" s="5">
        <v>36</v>
      </c>
      <c r="B42" s="5" t="s">
        <v>191</v>
      </c>
      <c r="C42" s="5" t="s">
        <v>1014</v>
      </c>
      <c r="D42" s="2">
        <v>45886</v>
      </c>
      <c r="E42" s="5">
        <v>2446</v>
      </c>
      <c r="F42" s="62" t="s">
        <v>1328</v>
      </c>
      <c r="G42" s="5" t="s">
        <v>1126</v>
      </c>
      <c r="H42" s="5" t="s">
        <v>1329</v>
      </c>
      <c r="I42" s="5" t="s">
        <v>306</v>
      </c>
      <c r="J42" s="5">
        <v>2023</v>
      </c>
      <c r="K42" s="5" t="s">
        <v>1330</v>
      </c>
      <c r="L42" s="5" t="s">
        <v>1331</v>
      </c>
      <c r="M42" s="165" t="s">
        <v>1332</v>
      </c>
      <c r="N42" s="5" t="s">
        <v>1333</v>
      </c>
      <c r="O42" s="5" t="s">
        <v>1334</v>
      </c>
      <c r="P42" s="5" t="s">
        <v>1335</v>
      </c>
      <c r="Q42" s="5" t="s">
        <v>203</v>
      </c>
      <c r="R42" s="165" t="s">
        <v>9</v>
      </c>
      <c r="S42" s="5" t="s">
        <v>9</v>
      </c>
      <c r="T42" s="5" t="s">
        <v>271</v>
      </c>
      <c r="U42" s="5"/>
      <c r="V42" s="5"/>
      <c r="W42" s="5"/>
      <c r="X42" s="5"/>
      <c r="Y42" s="165"/>
      <c r="Z42" s="5"/>
      <c r="AA42" s="5"/>
      <c r="AB42" s="71"/>
      <c r="AC42" s="5"/>
      <c r="AD42" s="5"/>
      <c r="AE42" s="5"/>
      <c r="AF42" s="5"/>
      <c r="AG42" s="5"/>
      <c r="AH42" s="5"/>
      <c r="AI42" s="5"/>
      <c r="AJ42" s="166"/>
      <c r="AK42" s="5"/>
    </row>
    <row r="43" spans="1:45" ht="14.25" customHeight="1">
      <c r="A43" s="159">
        <v>37</v>
      </c>
      <c r="B43" s="159" t="s">
        <v>191</v>
      </c>
      <c r="C43" s="159" t="s">
        <v>1014</v>
      </c>
      <c r="D43" s="160">
        <v>45887</v>
      </c>
      <c r="E43" s="159">
        <v>2447</v>
      </c>
      <c r="F43" s="171" t="s">
        <v>1336</v>
      </c>
      <c r="G43" s="159" t="s">
        <v>1213</v>
      </c>
      <c r="H43" s="159" t="s">
        <v>1337</v>
      </c>
      <c r="I43" s="159" t="s">
        <v>196</v>
      </c>
      <c r="J43" s="159">
        <v>2020</v>
      </c>
      <c r="K43" s="159" t="s">
        <v>1338</v>
      </c>
      <c r="L43" s="159" t="s">
        <v>1339</v>
      </c>
      <c r="M43" s="161" t="s">
        <v>1340</v>
      </c>
      <c r="N43" s="159" t="s">
        <v>1161</v>
      </c>
      <c r="O43" s="159" t="s">
        <v>1341</v>
      </c>
      <c r="P43" s="159" t="s">
        <v>518</v>
      </c>
      <c r="Q43" s="159" t="s">
        <v>203</v>
      </c>
      <c r="R43" s="161" t="s">
        <v>9</v>
      </c>
      <c r="S43" s="159" t="s">
        <v>9</v>
      </c>
      <c r="T43" s="159" t="s">
        <v>271</v>
      </c>
      <c r="U43" s="160">
        <v>45905</v>
      </c>
      <c r="V43" s="159" t="s">
        <v>1342</v>
      </c>
      <c r="W43" s="159" t="s">
        <v>215</v>
      </c>
      <c r="X43" s="159" t="s">
        <v>1343</v>
      </c>
      <c r="Y43" s="161" t="s">
        <v>1344</v>
      </c>
      <c r="Z43" s="159">
        <v>92623119</v>
      </c>
      <c r="AA43" s="159">
        <v>19</v>
      </c>
      <c r="AB43" s="162">
        <v>19</v>
      </c>
      <c r="AC43" s="159">
        <v>2447</v>
      </c>
      <c r="AD43" s="159" t="s">
        <v>736</v>
      </c>
      <c r="AE43" s="159" t="s">
        <v>9</v>
      </c>
      <c r="AF43" s="159" t="s">
        <v>9</v>
      </c>
      <c r="AG43" s="159" t="s">
        <v>1301</v>
      </c>
      <c r="AH43" s="159" t="s">
        <v>947</v>
      </c>
      <c r="AI43" s="160">
        <v>45905</v>
      </c>
      <c r="AJ43" s="163" t="s">
        <v>1345</v>
      </c>
      <c r="AK43" s="159" t="s">
        <v>248</v>
      </c>
      <c r="AL43" s="171" t="s">
        <v>1346</v>
      </c>
    </row>
    <row r="44" spans="1:45" ht="14.25" customHeight="1">
      <c r="A44" s="5">
        <v>38</v>
      </c>
      <c r="B44" s="5" t="s">
        <v>191</v>
      </c>
      <c r="C44" s="5" t="s">
        <v>1014</v>
      </c>
      <c r="D44" s="2">
        <v>45892</v>
      </c>
      <c r="E44" s="5">
        <v>2452</v>
      </c>
      <c r="F44" s="5" t="s">
        <v>1347</v>
      </c>
      <c r="G44" s="5" t="s">
        <v>1028</v>
      </c>
      <c r="H44" s="5" t="s">
        <v>1348</v>
      </c>
      <c r="I44" s="5" t="s">
        <v>478</v>
      </c>
      <c r="J44" s="5">
        <v>2015</v>
      </c>
      <c r="K44" s="5" t="s">
        <v>1349</v>
      </c>
      <c r="L44" s="5" t="s">
        <v>1350</v>
      </c>
      <c r="M44" s="165" t="s">
        <v>1351</v>
      </c>
      <c r="N44" s="5" t="s">
        <v>912</v>
      </c>
      <c r="O44" s="5" t="s">
        <v>1352</v>
      </c>
      <c r="P44" s="5" t="s">
        <v>492</v>
      </c>
      <c r="Q44" s="5" t="s">
        <v>9</v>
      </c>
      <c r="R44" s="165" t="s">
        <v>9</v>
      </c>
      <c r="S44" s="5" t="s">
        <v>9</v>
      </c>
      <c r="T44" s="5" t="s">
        <v>736</v>
      </c>
      <c r="U44" s="5"/>
      <c r="V44" s="5"/>
      <c r="W44" s="5"/>
      <c r="X44" s="5"/>
      <c r="Y44" s="165"/>
      <c r="Z44" s="5"/>
      <c r="AA44" s="5"/>
      <c r="AB44" s="71"/>
      <c r="AC44" s="5"/>
      <c r="AD44" s="5"/>
      <c r="AE44" s="5"/>
      <c r="AF44" s="5"/>
      <c r="AG44" s="5"/>
      <c r="AH44" s="5"/>
      <c r="AI44" s="5"/>
      <c r="AJ44" s="166"/>
      <c r="AK44" s="5"/>
    </row>
    <row r="45" spans="1:45" ht="14.25" customHeight="1">
      <c r="A45" s="5">
        <v>39</v>
      </c>
      <c r="B45" s="5" t="s">
        <v>191</v>
      </c>
      <c r="C45" s="5" t="s">
        <v>1014</v>
      </c>
      <c r="D45" s="2">
        <v>45902</v>
      </c>
      <c r="E45" s="5">
        <v>2464</v>
      </c>
      <c r="F45" s="5" t="s">
        <v>1353</v>
      </c>
      <c r="G45" s="5" t="s">
        <v>1249</v>
      </c>
      <c r="H45" s="5" t="s">
        <v>1312</v>
      </c>
      <c r="I45" s="5" t="s">
        <v>478</v>
      </c>
      <c r="J45" s="5">
        <v>2023</v>
      </c>
      <c r="K45" s="5" t="s">
        <v>1354</v>
      </c>
      <c r="L45" s="5" t="s">
        <v>1355</v>
      </c>
      <c r="M45" s="165" t="s">
        <v>1356</v>
      </c>
      <c r="N45" s="5" t="s">
        <v>1357</v>
      </c>
      <c r="O45" s="5" t="s">
        <v>1358</v>
      </c>
      <c r="P45" s="5" t="s">
        <v>492</v>
      </c>
      <c r="Q45" s="5" t="s">
        <v>9</v>
      </c>
      <c r="R45" s="165" t="s">
        <v>9</v>
      </c>
      <c r="S45" s="5" t="s">
        <v>9</v>
      </c>
      <c r="T45" s="5" t="s">
        <v>736</v>
      </c>
      <c r="U45" s="5"/>
      <c r="V45" s="5"/>
      <c r="W45" s="5"/>
      <c r="X45" s="5"/>
      <c r="Y45" s="165"/>
      <c r="Z45" s="5"/>
      <c r="AA45" s="5"/>
      <c r="AB45" s="71"/>
      <c r="AC45" s="5"/>
      <c r="AD45" s="5"/>
      <c r="AE45" s="5"/>
      <c r="AF45" s="5"/>
      <c r="AG45" s="5"/>
      <c r="AH45" s="5"/>
      <c r="AI45" s="5"/>
      <c r="AJ45" s="166"/>
      <c r="AK45" s="5"/>
    </row>
    <row r="46" spans="1:45" ht="14.25" customHeight="1">
      <c r="A46" s="159">
        <v>40</v>
      </c>
      <c r="B46" s="159" t="s">
        <v>191</v>
      </c>
      <c r="C46" s="159" t="s">
        <v>1014</v>
      </c>
      <c r="D46" s="160">
        <v>45907</v>
      </c>
      <c r="E46" s="159">
        <v>2467</v>
      </c>
      <c r="F46" s="159" t="s">
        <v>1359</v>
      </c>
      <c r="G46" s="159" t="s">
        <v>1360</v>
      </c>
      <c r="H46" s="159" t="s">
        <v>1361</v>
      </c>
      <c r="I46" s="159" t="s">
        <v>224</v>
      </c>
      <c r="J46" s="159">
        <v>2024</v>
      </c>
      <c r="K46" s="159" t="s">
        <v>1362</v>
      </c>
      <c r="L46" s="159" t="s">
        <v>1363</v>
      </c>
      <c r="M46" s="161" t="s">
        <v>1364</v>
      </c>
      <c r="N46" s="159" t="s">
        <v>977</v>
      </c>
      <c r="O46" s="159" t="s">
        <v>1365</v>
      </c>
      <c r="P46" s="159" t="s">
        <v>518</v>
      </c>
      <c r="Q46" s="159" t="s">
        <v>203</v>
      </c>
      <c r="R46" s="161" t="s">
        <v>9</v>
      </c>
      <c r="S46" s="159" t="s">
        <v>9</v>
      </c>
      <c r="T46" s="159" t="s">
        <v>736</v>
      </c>
      <c r="U46" s="160">
        <v>45931</v>
      </c>
      <c r="V46" s="159" t="s">
        <v>1366</v>
      </c>
      <c r="W46" s="159" t="s">
        <v>215</v>
      </c>
      <c r="X46" s="159" t="s">
        <v>1365</v>
      </c>
      <c r="Y46" s="161" t="s">
        <v>1367</v>
      </c>
      <c r="Z46" s="159">
        <v>93282460</v>
      </c>
      <c r="AA46" s="159">
        <v>25</v>
      </c>
      <c r="AB46" s="162">
        <v>25</v>
      </c>
      <c r="AC46" s="159">
        <v>2467</v>
      </c>
      <c r="AD46" s="159" t="s">
        <v>1368</v>
      </c>
      <c r="AE46" s="159" t="s">
        <v>9</v>
      </c>
      <c r="AF46" s="159" t="s">
        <v>9</v>
      </c>
      <c r="AG46" s="159" t="s">
        <v>1301</v>
      </c>
      <c r="AH46" s="159" t="s">
        <v>1247</v>
      </c>
      <c r="AI46" s="160">
        <v>45931</v>
      </c>
      <c r="AJ46" s="163" t="s">
        <v>1369</v>
      </c>
      <c r="AK46" s="159" t="s">
        <v>1292</v>
      </c>
    </row>
    <row r="47" spans="1:45" ht="14.25" customHeight="1">
      <c r="A47" s="159">
        <v>41</v>
      </c>
      <c r="B47" s="159" t="s">
        <v>191</v>
      </c>
      <c r="C47" s="159" t="s">
        <v>1014</v>
      </c>
      <c r="D47" s="160">
        <v>45913</v>
      </c>
      <c r="E47" s="159">
        <v>2471</v>
      </c>
      <c r="F47" s="159" t="s">
        <v>1370</v>
      </c>
      <c r="G47" s="159" t="s">
        <v>194</v>
      </c>
      <c r="H47" s="159" t="s">
        <v>1371</v>
      </c>
      <c r="I47" s="159" t="s">
        <v>306</v>
      </c>
      <c r="J47" s="159">
        <v>2009</v>
      </c>
      <c r="K47" s="159" t="s">
        <v>1372</v>
      </c>
      <c r="L47" s="159" t="s">
        <v>1373</v>
      </c>
      <c r="M47" s="161" t="s">
        <v>1374</v>
      </c>
      <c r="N47" s="159" t="s">
        <v>212</v>
      </c>
      <c r="O47" s="159" t="s">
        <v>1375</v>
      </c>
      <c r="P47" s="159" t="s">
        <v>1376</v>
      </c>
      <c r="Q47" s="159" t="s">
        <v>9</v>
      </c>
      <c r="R47" s="161" t="s">
        <v>9</v>
      </c>
      <c r="S47" s="159" t="s">
        <v>9</v>
      </c>
      <c r="T47" s="159" t="s">
        <v>1377</v>
      </c>
      <c r="U47" s="160">
        <v>45913</v>
      </c>
      <c r="V47" s="159" t="s">
        <v>1378</v>
      </c>
      <c r="W47" s="159" t="s">
        <v>215</v>
      </c>
      <c r="X47" s="159" t="s">
        <v>1379</v>
      </c>
      <c r="Y47" s="161" t="s">
        <v>1380</v>
      </c>
      <c r="Z47" s="159">
        <v>92817456</v>
      </c>
      <c r="AA47" s="159">
        <v>3</v>
      </c>
      <c r="AB47" s="162">
        <v>3</v>
      </c>
      <c r="AC47" s="159">
        <v>2471</v>
      </c>
      <c r="AD47" s="159" t="s">
        <v>1377</v>
      </c>
      <c r="AE47" s="159" t="s">
        <v>9</v>
      </c>
      <c r="AF47" s="159" t="s">
        <v>9</v>
      </c>
      <c r="AG47" s="159" t="s">
        <v>9</v>
      </c>
      <c r="AH47" s="159" t="s">
        <v>9</v>
      </c>
      <c r="AI47" s="160">
        <v>45915</v>
      </c>
      <c r="AJ47" s="163" t="s">
        <v>1381</v>
      </c>
      <c r="AK47" s="159" t="s">
        <v>248</v>
      </c>
    </row>
    <row r="48" spans="1:45" ht="14.25" customHeight="1">
      <c r="A48" s="5">
        <v>42</v>
      </c>
      <c r="B48" s="5" t="s">
        <v>191</v>
      </c>
      <c r="C48" s="5" t="s">
        <v>1014</v>
      </c>
      <c r="D48" s="2">
        <v>45913</v>
      </c>
      <c r="E48" s="5">
        <v>2472</v>
      </c>
      <c r="F48" s="5" t="s">
        <v>1382</v>
      </c>
      <c r="G48" s="5" t="s">
        <v>1071</v>
      </c>
      <c r="H48" s="5" t="s">
        <v>1383</v>
      </c>
      <c r="I48" s="5" t="s">
        <v>306</v>
      </c>
      <c r="J48" s="5">
        <v>2012</v>
      </c>
      <c r="K48" s="5" t="s">
        <v>1384</v>
      </c>
      <c r="L48" s="5" t="s">
        <v>1385</v>
      </c>
      <c r="M48" s="165" t="s">
        <v>1386</v>
      </c>
      <c r="N48" s="5" t="s">
        <v>212</v>
      </c>
      <c r="O48" s="5" t="s">
        <v>1387</v>
      </c>
      <c r="P48" s="5" t="s">
        <v>492</v>
      </c>
      <c r="Q48" s="5" t="s">
        <v>9</v>
      </c>
      <c r="R48" s="165" t="s">
        <v>9</v>
      </c>
      <c r="S48" s="5" t="s">
        <v>9</v>
      </c>
      <c r="T48" s="5" t="s">
        <v>1377</v>
      </c>
      <c r="U48" s="5"/>
      <c r="V48" s="5"/>
      <c r="W48" s="5"/>
      <c r="X48" s="5"/>
      <c r="Y48" s="165"/>
      <c r="Z48" s="5"/>
      <c r="AA48" s="5"/>
      <c r="AB48" s="71"/>
      <c r="AC48" s="5"/>
      <c r="AD48" s="5"/>
      <c r="AE48" s="5"/>
      <c r="AF48" s="5"/>
      <c r="AG48" s="5"/>
      <c r="AH48" s="5"/>
      <c r="AI48" s="5"/>
      <c r="AJ48" s="166"/>
      <c r="AK48" s="5"/>
    </row>
    <row r="49" spans="1:37" ht="14.25" customHeight="1">
      <c r="A49" s="159">
        <v>43</v>
      </c>
      <c r="B49" s="159" t="s">
        <v>191</v>
      </c>
      <c r="C49" s="159" t="s">
        <v>1014</v>
      </c>
      <c r="D49" s="160">
        <v>45914</v>
      </c>
      <c r="E49" s="159">
        <v>2473</v>
      </c>
      <c r="F49" s="159" t="s">
        <v>1388</v>
      </c>
      <c r="G49" s="159" t="s">
        <v>1389</v>
      </c>
      <c r="H49" s="159" t="s">
        <v>1390</v>
      </c>
      <c r="I49" s="159" t="s">
        <v>478</v>
      </c>
      <c r="J49" s="159">
        <v>2024</v>
      </c>
      <c r="K49" s="159" t="s">
        <v>1391</v>
      </c>
      <c r="L49" s="159" t="s">
        <v>1392</v>
      </c>
      <c r="M49" s="161" t="s">
        <v>1393</v>
      </c>
      <c r="N49" s="159" t="s">
        <v>1394</v>
      </c>
      <c r="O49" s="159" t="s">
        <v>1395</v>
      </c>
      <c r="P49" s="159" t="s">
        <v>492</v>
      </c>
      <c r="Q49" s="159" t="s">
        <v>9</v>
      </c>
      <c r="R49" s="161" t="s">
        <v>9</v>
      </c>
      <c r="S49" s="159" t="s">
        <v>9</v>
      </c>
      <c r="T49" s="159" t="s">
        <v>1377</v>
      </c>
      <c r="U49" s="160">
        <v>45922</v>
      </c>
      <c r="V49" s="159" t="s">
        <v>1396</v>
      </c>
      <c r="W49" s="159" t="s">
        <v>215</v>
      </c>
      <c r="X49" s="159" t="s">
        <v>1397</v>
      </c>
      <c r="Y49" s="161" t="s">
        <v>1398</v>
      </c>
      <c r="Z49" s="159">
        <v>93009310</v>
      </c>
      <c r="AA49" s="159">
        <v>9</v>
      </c>
      <c r="AB49" s="162">
        <v>9</v>
      </c>
      <c r="AC49" s="159">
        <v>2473</v>
      </c>
      <c r="AD49" s="159" t="s">
        <v>736</v>
      </c>
      <c r="AE49" s="159" t="s">
        <v>9</v>
      </c>
      <c r="AF49" s="159" t="s">
        <v>9</v>
      </c>
      <c r="AG49" s="159" t="s">
        <v>9</v>
      </c>
      <c r="AH49" s="159" t="s">
        <v>9</v>
      </c>
      <c r="AI49" s="160">
        <v>45922</v>
      </c>
      <c r="AJ49" s="163" t="s">
        <v>1399</v>
      </c>
      <c r="AK49" s="159" t="s">
        <v>948</v>
      </c>
    </row>
    <row r="50" spans="1:37" ht="14.25" customHeight="1">
      <c r="A50" s="5">
        <v>44</v>
      </c>
      <c r="B50" s="5" t="s">
        <v>191</v>
      </c>
      <c r="C50" s="5" t="s">
        <v>1014</v>
      </c>
      <c r="D50" s="2">
        <v>45914</v>
      </c>
      <c r="E50" s="5">
        <v>2475</v>
      </c>
      <c r="F50" s="5" t="s">
        <v>1400</v>
      </c>
      <c r="G50" s="5" t="s">
        <v>1401</v>
      </c>
      <c r="H50" s="5" t="s">
        <v>1402</v>
      </c>
      <c r="I50" s="5" t="s">
        <v>209</v>
      </c>
      <c r="J50" s="5">
        <v>2014</v>
      </c>
      <c r="K50" s="5" t="s">
        <v>1403</v>
      </c>
      <c r="L50" s="5" t="s">
        <v>1404</v>
      </c>
      <c r="M50" s="165" t="s">
        <v>1405</v>
      </c>
      <c r="N50" s="5" t="s">
        <v>1406</v>
      </c>
      <c r="O50" s="5" t="s">
        <v>1407</v>
      </c>
      <c r="P50" s="5" t="s">
        <v>492</v>
      </c>
      <c r="Q50" s="5" t="s">
        <v>9</v>
      </c>
      <c r="R50" s="165" t="s">
        <v>9</v>
      </c>
      <c r="S50" s="5" t="s">
        <v>9</v>
      </c>
      <c r="T50" s="5" t="s">
        <v>1377</v>
      </c>
      <c r="U50" s="5"/>
      <c r="V50" s="5"/>
      <c r="W50" s="5"/>
      <c r="X50" s="5"/>
      <c r="Y50" s="165"/>
      <c r="Z50" s="5"/>
      <c r="AA50" s="5"/>
      <c r="AB50" s="71"/>
      <c r="AC50" s="5"/>
      <c r="AD50" s="5"/>
      <c r="AE50" s="5"/>
      <c r="AF50" s="5"/>
      <c r="AG50" s="5"/>
      <c r="AH50" s="5"/>
      <c r="AI50" s="5"/>
      <c r="AJ50" s="166"/>
      <c r="AK50" s="5"/>
    </row>
    <row r="51" spans="1:37" ht="14.25" customHeight="1">
      <c r="A51" s="5">
        <v>45</v>
      </c>
      <c r="B51" s="5" t="s">
        <v>191</v>
      </c>
      <c r="C51" s="5" t="s">
        <v>1014</v>
      </c>
      <c r="D51" s="2">
        <v>45916</v>
      </c>
      <c r="E51" s="5">
        <v>2474</v>
      </c>
      <c r="F51" s="5" t="s">
        <v>1408</v>
      </c>
      <c r="G51" s="5" t="s">
        <v>1115</v>
      </c>
      <c r="H51" s="5" t="s">
        <v>1409</v>
      </c>
      <c r="I51" s="5" t="s">
        <v>1102</v>
      </c>
      <c r="J51" s="5">
        <v>2024</v>
      </c>
      <c r="K51" s="5" t="s">
        <v>1410</v>
      </c>
      <c r="L51" s="5" t="s">
        <v>1411</v>
      </c>
      <c r="M51" s="165" t="s">
        <v>1412</v>
      </c>
      <c r="N51" s="5" t="s">
        <v>912</v>
      </c>
      <c r="O51" s="5" t="s">
        <v>1413</v>
      </c>
      <c r="P51" s="5" t="s">
        <v>518</v>
      </c>
      <c r="Q51" s="5" t="s">
        <v>9</v>
      </c>
      <c r="R51" s="165" t="s">
        <v>9</v>
      </c>
      <c r="S51" s="5" t="s">
        <v>9</v>
      </c>
      <c r="T51" s="5" t="s">
        <v>736</v>
      </c>
      <c r="U51" s="5"/>
      <c r="V51" s="5"/>
      <c r="W51" s="5"/>
      <c r="X51" s="5"/>
      <c r="Y51" s="165"/>
      <c r="Z51" s="5"/>
      <c r="AA51" s="5"/>
      <c r="AB51" s="71"/>
      <c r="AC51" s="5"/>
      <c r="AD51" s="5"/>
      <c r="AE51" s="5"/>
      <c r="AF51" s="5"/>
      <c r="AG51" s="5"/>
      <c r="AH51" s="5"/>
      <c r="AI51" s="5"/>
      <c r="AJ51" s="166"/>
      <c r="AK51" s="5"/>
    </row>
    <row r="52" spans="1:37" ht="14.25" customHeight="1">
      <c r="A52" s="159">
        <v>46</v>
      </c>
      <c r="B52" s="159" t="s">
        <v>191</v>
      </c>
      <c r="C52" s="159" t="s">
        <v>1014</v>
      </c>
      <c r="D52" s="160">
        <v>45920</v>
      </c>
      <c r="E52" s="159">
        <v>2481</v>
      </c>
      <c r="F52" s="159" t="s">
        <v>1414</v>
      </c>
      <c r="G52" s="159" t="s">
        <v>1249</v>
      </c>
      <c r="H52" s="159" t="s">
        <v>1415</v>
      </c>
      <c r="I52" s="159" t="s">
        <v>306</v>
      </c>
      <c r="J52" s="159">
        <v>2025</v>
      </c>
      <c r="K52" s="159" t="s">
        <v>1416</v>
      </c>
      <c r="L52" s="159" t="s">
        <v>1417</v>
      </c>
      <c r="M52" s="161" t="s">
        <v>1418</v>
      </c>
      <c r="N52" s="159" t="s">
        <v>1161</v>
      </c>
      <c r="O52" s="159" t="s">
        <v>1419</v>
      </c>
      <c r="P52" s="159" t="s">
        <v>518</v>
      </c>
      <c r="Q52" s="159" t="s">
        <v>203</v>
      </c>
      <c r="R52" s="161" t="s">
        <v>9</v>
      </c>
      <c r="S52" s="159" t="s">
        <v>9</v>
      </c>
      <c r="T52" s="159" t="s">
        <v>736</v>
      </c>
      <c r="U52" s="160">
        <v>46002</v>
      </c>
      <c r="V52" s="159" t="s">
        <v>1420</v>
      </c>
      <c r="W52" s="159" t="s">
        <v>215</v>
      </c>
      <c r="X52" s="159" t="s">
        <v>1421</v>
      </c>
      <c r="Y52" s="161" t="s">
        <v>1422</v>
      </c>
      <c r="Z52" s="159">
        <v>95109286</v>
      </c>
      <c r="AA52" s="159">
        <v>83</v>
      </c>
      <c r="AB52" s="162">
        <v>83</v>
      </c>
      <c r="AC52" s="159">
        <v>2481</v>
      </c>
      <c r="AD52" s="159" t="s">
        <v>736</v>
      </c>
      <c r="AE52" s="159" t="s">
        <v>9</v>
      </c>
      <c r="AF52" s="159" t="s">
        <v>9</v>
      </c>
      <c r="AG52" s="159" t="s">
        <v>1301</v>
      </c>
      <c r="AH52" s="159" t="s">
        <v>234</v>
      </c>
      <c r="AI52" s="160">
        <v>46002</v>
      </c>
      <c r="AJ52" s="163" t="s">
        <v>1423</v>
      </c>
      <c r="AK52" s="159" t="s">
        <v>248</v>
      </c>
    </row>
    <row r="53" spans="1:37" ht="14.25" customHeight="1">
      <c r="A53" s="159">
        <v>47</v>
      </c>
      <c r="B53" s="159" t="s">
        <v>191</v>
      </c>
      <c r="C53" s="159" t="s">
        <v>1014</v>
      </c>
      <c r="D53" s="160">
        <v>45922</v>
      </c>
      <c r="E53" s="159">
        <v>2483</v>
      </c>
      <c r="F53" s="159" t="s">
        <v>1424</v>
      </c>
      <c r="G53" s="159" t="s">
        <v>1071</v>
      </c>
      <c r="H53" s="159" t="s">
        <v>1425</v>
      </c>
      <c r="I53" s="159" t="s">
        <v>478</v>
      </c>
      <c r="J53" s="159">
        <v>2014</v>
      </c>
      <c r="K53" s="159" t="s">
        <v>1426</v>
      </c>
      <c r="L53" s="159" t="s">
        <v>1427</v>
      </c>
      <c r="M53" s="161" t="s">
        <v>1428</v>
      </c>
      <c r="N53" s="159" t="s">
        <v>212</v>
      </c>
      <c r="O53" s="159" t="s">
        <v>1429</v>
      </c>
      <c r="P53" s="159" t="s">
        <v>492</v>
      </c>
      <c r="Q53" s="159" t="s">
        <v>9</v>
      </c>
      <c r="R53" s="161" t="s">
        <v>9</v>
      </c>
      <c r="S53" s="159" t="s">
        <v>9</v>
      </c>
      <c r="T53" s="159" t="s">
        <v>1377</v>
      </c>
      <c r="U53" s="160">
        <v>45922</v>
      </c>
      <c r="V53" s="159" t="s">
        <v>1430</v>
      </c>
      <c r="W53" s="159" t="s">
        <v>215</v>
      </c>
      <c r="X53" s="159" t="s">
        <v>1431</v>
      </c>
      <c r="Y53" s="161" t="s">
        <v>1432</v>
      </c>
      <c r="Z53" s="159">
        <v>93032139</v>
      </c>
      <c r="AA53" s="159">
        <v>2</v>
      </c>
      <c r="AB53" s="162">
        <v>2</v>
      </c>
      <c r="AC53" s="159">
        <v>2483</v>
      </c>
      <c r="AD53" s="159" t="s">
        <v>736</v>
      </c>
      <c r="AE53" s="159" t="s">
        <v>9</v>
      </c>
      <c r="AF53" s="159" t="s">
        <v>9</v>
      </c>
      <c r="AG53" s="159" t="s">
        <v>9</v>
      </c>
      <c r="AH53" s="159" t="s">
        <v>9</v>
      </c>
      <c r="AI53" s="160">
        <v>45922</v>
      </c>
      <c r="AJ53" s="163" t="s">
        <v>1433</v>
      </c>
      <c r="AK53" s="159" t="s">
        <v>248</v>
      </c>
    </row>
    <row r="54" spans="1:37" ht="14.25" customHeight="1">
      <c r="A54" s="159">
        <v>48</v>
      </c>
      <c r="B54" s="159" t="s">
        <v>191</v>
      </c>
      <c r="C54" s="159" t="s">
        <v>1014</v>
      </c>
      <c r="D54" s="160">
        <v>45926</v>
      </c>
      <c r="E54" s="159">
        <v>2486</v>
      </c>
      <c r="F54" s="159" t="s">
        <v>1434</v>
      </c>
      <c r="G54" s="159" t="s">
        <v>1213</v>
      </c>
      <c r="H54" s="159" t="s">
        <v>1435</v>
      </c>
      <c r="I54" s="159" t="s">
        <v>306</v>
      </c>
      <c r="J54" s="159">
        <v>2012</v>
      </c>
      <c r="K54" s="159" t="s">
        <v>1436</v>
      </c>
      <c r="L54" s="159" t="s">
        <v>1437</v>
      </c>
      <c r="M54" s="161" t="s">
        <v>1438</v>
      </c>
      <c r="N54" s="159" t="s">
        <v>1439</v>
      </c>
      <c r="O54" s="159" t="s">
        <v>1440</v>
      </c>
      <c r="P54" s="159" t="s">
        <v>492</v>
      </c>
      <c r="Q54" s="159" t="s">
        <v>9</v>
      </c>
      <c r="R54" s="161" t="s">
        <v>9</v>
      </c>
      <c r="S54" s="159" t="s">
        <v>9</v>
      </c>
      <c r="T54" s="159" t="s">
        <v>736</v>
      </c>
      <c r="U54" s="160">
        <v>45927</v>
      </c>
      <c r="V54" s="159" t="s">
        <v>1441</v>
      </c>
      <c r="W54" s="159" t="s">
        <v>215</v>
      </c>
      <c r="X54" s="159" t="s">
        <v>1442</v>
      </c>
      <c r="Y54" s="161" t="s">
        <v>1443</v>
      </c>
      <c r="Z54" s="159">
        <v>93189612</v>
      </c>
      <c r="AA54" s="159">
        <v>2</v>
      </c>
      <c r="AB54" s="162">
        <v>2</v>
      </c>
      <c r="AC54" s="159">
        <v>2486</v>
      </c>
      <c r="AD54" s="159" t="s">
        <v>1368</v>
      </c>
      <c r="AE54" s="159" t="s">
        <v>9</v>
      </c>
      <c r="AF54" s="159" t="s">
        <v>9</v>
      </c>
      <c r="AG54" s="159" t="s">
        <v>9</v>
      </c>
      <c r="AH54" s="159" t="s">
        <v>9</v>
      </c>
      <c r="AI54" s="160">
        <v>45927</v>
      </c>
      <c r="AJ54" s="163" t="s">
        <v>1444</v>
      </c>
      <c r="AK54" s="159" t="s">
        <v>1445</v>
      </c>
    </row>
    <row r="55" spans="1:37" ht="14.25" customHeight="1">
      <c r="A55" s="5">
        <v>49</v>
      </c>
      <c r="B55" s="5" t="s">
        <v>191</v>
      </c>
      <c r="C55" s="5" t="s">
        <v>1014</v>
      </c>
      <c r="D55" s="2">
        <v>45926</v>
      </c>
      <c r="E55" s="5">
        <v>2488</v>
      </c>
      <c r="F55" s="5" t="s">
        <v>1446</v>
      </c>
      <c r="G55" s="5" t="s">
        <v>1126</v>
      </c>
      <c r="H55" s="5" t="s">
        <v>1447</v>
      </c>
      <c r="I55" s="5" t="s">
        <v>478</v>
      </c>
      <c r="J55" s="5">
        <v>2019</v>
      </c>
      <c r="K55" s="5" t="s">
        <v>1448</v>
      </c>
      <c r="L55" s="5" t="s">
        <v>1449</v>
      </c>
      <c r="M55" s="165" t="s">
        <v>1450</v>
      </c>
      <c r="N55" s="5" t="s">
        <v>560</v>
      </c>
      <c r="O55" s="5" t="s">
        <v>1451</v>
      </c>
      <c r="P55" s="5" t="s">
        <v>518</v>
      </c>
      <c r="Q55" s="5" t="s">
        <v>203</v>
      </c>
      <c r="R55" s="165" t="s">
        <v>9</v>
      </c>
      <c r="S55" s="5" t="s">
        <v>9</v>
      </c>
      <c r="T55" s="5" t="s">
        <v>736</v>
      </c>
      <c r="U55" s="5"/>
      <c r="V55" s="5"/>
      <c r="W55" s="5"/>
      <c r="X55" s="5"/>
      <c r="Y55" s="165"/>
      <c r="Z55" s="5"/>
      <c r="AA55" s="5"/>
      <c r="AB55" s="71"/>
      <c r="AC55" s="5"/>
      <c r="AD55" s="5"/>
      <c r="AE55" s="5"/>
      <c r="AF55" s="5"/>
      <c r="AG55" s="5"/>
      <c r="AH55" s="5"/>
      <c r="AI55" s="5"/>
      <c r="AJ55" s="166"/>
      <c r="AK55" s="5"/>
    </row>
    <row r="56" spans="1:37" ht="14.25" customHeight="1">
      <c r="A56" s="5">
        <v>50</v>
      </c>
      <c r="B56" s="5" t="s">
        <v>191</v>
      </c>
      <c r="C56" s="5" t="s">
        <v>1014</v>
      </c>
      <c r="D56" s="2">
        <v>45928</v>
      </c>
      <c r="E56" s="5">
        <v>2493</v>
      </c>
      <c r="F56" s="5" t="s">
        <v>1452</v>
      </c>
      <c r="G56" s="5" t="s">
        <v>1126</v>
      </c>
      <c r="H56" s="5" t="s">
        <v>1453</v>
      </c>
      <c r="I56" s="5" t="s">
        <v>306</v>
      </c>
      <c r="J56" s="5">
        <v>2022</v>
      </c>
      <c r="K56" s="5" t="s">
        <v>1454</v>
      </c>
      <c r="L56" s="5" t="s">
        <v>1455</v>
      </c>
      <c r="M56" s="165" t="s">
        <v>1456</v>
      </c>
      <c r="N56" s="5" t="s">
        <v>1457</v>
      </c>
      <c r="O56" s="5" t="s">
        <v>1458</v>
      </c>
      <c r="P56" s="5" t="s">
        <v>518</v>
      </c>
      <c r="Q56" s="5" t="s">
        <v>203</v>
      </c>
      <c r="R56" s="165" t="s">
        <v>9</v>
      </c>
      <c r="S56" s="5" t="s">
        <v>9</v>
      </c>
      <c r="T56" s="5" t="s">
        <v>736</v>
      </c>
      <c r="U56" s="5"/>
      <c r="V56" s="5"/>
      <c r="W56" s="5"/>
      <c r="X56" s="5"/>
      <c r="Y56" s="165"/>
      <c r="Z56" s="5"/>
      <c r="AA56" s="5"/>
      <c r="AB56" s="71"/>
      <c r="AC56" s="5"/>
      <c r="AD56" s="5"/>
      <c r="AE56" s="5"/>
      <c r="AF56" s="5"/>
      <c r="AG56" s="5"/>
      <c r="AH56" s="5"/>
      <c r="AI56" s="5"/>
      <c r="AJ56" s="166"/>
      <c r="AK56" s="5"/>
    </row>
    <row r="57" spans="1:37" ht="14.25" customHeight="1">
      <c r="A57" s="5">
        <v>51</v>
      </c>
      <c r="B57" s="5" t="s">
        <v>191</v>
      </c>
      <c r="C57" s="5" t="s">
        <v>1014</v>
      </c>
      <c r="D57" s="2">
        <v>45933</v>
      </c>
      <c r="E57" s="5">
        <v>2495</v>
      </c>
      <c r="F57" s="5" t="s">
        <v>1459</v>
      </c>
      <c r="G57" s="5" t="s">
        <v>1284</v>
      </c>
      <c r="H57" s="5" t="s">
        <v>1460</v>
      </c>
      <c r="I57" s="5" t="s">
        <v>306</v>
      </c>
      <c r="J57" s="5">
        <v>2015</v>
      </c>
      <c r="K57" s="5" t="s">
        <v>1461</v>
      </c>
      <c r="L57" s="5" t="s">
        <v>1462</v>
      </c>
      <c r="M57" s="165" t="s">
        <v>1463</v>
      </c>
      <c r="N57" s="5" t="s">
        <v>970</v>
      </c>
      <c r="O57" s="5" t="s">
        <v>1464</v>
      </c>
      <c r="P57" s="5" t="s">
        <v>492</v>
      </c>
      <c r="Q57" s="5" t="s">
        <v>9</v>
      </c>
      <c r="R57" s="165" t="s">
        <v>9</v>
      </c>
      <c r="S57" s="5" t="s">
        <v>9</v>
      </c>
      <c r="T57" s="5" t="s">
        <v>736</v>
      </c>
      <c r="U57" s="5"/>
      <c r="V57" s="5"/>
      <c r="W57" s="5"/>
      <c r="X57" s="5"/>
      <c r="Y57" s="165"/>
      <c r="Z57" s="5"/>
      <c r="AA57" s="5"/>
      <c r="AB57" s="71"/>
      <c r="AC57" s="5"/>
      <c r="AD57" s="5"/>
      <c r="AE57" s="5"/>
      <c r="AF57" s="5"/>
      <c r="AG57" s="5"/>
      <c r="AH57" s="5"/>
      <c r="AI57" s="5"/>
      <c r="AJ57" s="166"/>
      <c r="AK57" s="5"/>
    </row>
    <row r="58" spans="1:37" ht="14.25" customHeight="1">
      <c r="A58" s="159">
        <v>52</v>
      </c>
      <c r="B58" s="159" t="s">
        <v>191</v>
      </c>
      <c r="C58" s="159" t="s">
        <v>1014</v>
      </c>
      <c r="D58" s="160">
        <v>45934</v>
      </c>
      <c r="E58" s="159">
        <v>2500</v>
      </c>
      <c r="F58" s="159" t="s">
        <v>1465</v>
      </c>
      <c r="G58" s="159" t="s">
        <v>1016</v>
      </c>
      <c r="H58" s="159" t="s">
        <v>1466</v>
      </c>
      <c r="I58" s="159" t="s">
        <v>306</v>
      </c>
      <c r="J58" s="159">
        <v>2024</v>
      </c>
      <c r="K58" s="159" t="s">
        <v>1467</v>
      </c>
      <c r="L58" s="159" t="s">
        <v>1468</v>
      </c>
      <c r="M58" s="161" t="s">
        <v>1469</v>
      </c>
      <c r="N58" s="159" t="s">
        <v>970</v>
      </c>
      <c r="O58" s="159" t="s">
        <v>1470</v>
      </c>
      <c r="P58" s="159" t="s">
        <v>518</v>
      </c>
      <c r="Q58" s="159" t="s">
        <v>203</v>
      </c>
      <c r="R58" s="161" t="s">
        <v>9</v>
      </c>
      <c r="S58" s="159" t="s">
        <v>9</v>
      </c>
      <c r="T58" s="159" t="s">
        <v>736</v>
      </c>
      <c r="U58" s="160">
        <v>45975</v>
      </c>
      <c r="V58" s="159" t="s">
        <v>1471</v>
      </c>
      <c r="W58" s="159" t="s">
        <v>215</v>
      </c>
      <c r="X58" s="159" t="s">
        <v>1472</v>
      </c>
      <c r="Y58" s="161" t="s">
        <v>1473</v>
      </c>
      <c r="Z58" s="159">
        <v>94359091</v>
      </c>
      <c r="AA58" s="159">
        <v>42</v>
      </c>
      <c r="AB58" s="162">
        <v>42</v>
      </c>
      <c r="AC58" s="159">
        <v>2500</v>
      </c>
      <c r="AD58" s="159" t="s">
        <v>736</v>
      </c>
      <c r="AE58" s="159" t="s">
        <v>9</v>
      </c>
      <c r="AF58" s="159" t="s">
        <v>9</v>
      </c>
      <c r="AG58" s="159" t="s">
        <v>1301</v>
      </c>
      <c r="AH58" s="159" t="s">
        <v>1474</v>
      </c>
      <c r="AI58" s="160">
        <v>45975</v>
      </c>
      <c r="AJ58" s="163" t="s">
        <v>1475</v>
      </c>
      <c r="AK58" s="159" t="s">
        <v>248</v>
      </c>
    </row>
    <row r="59" spans="1:37" ht="14.25" customHeight="1">
      <c r="A59" s="159">
        <v>53</v>
      </c>
      <c r="B59" s="159" t="s">
        <v>191</v>
      </c>
      <c r="C59" s="159" t="s">
        <v>1014</v>
      </c>
      <c r="D59" s="160">
        <v>45934</v>
      </c>
      <c r="E59" s="159">
        <v>2502</v>
      </c>
      <c r="F59" s="159" t="s">
        <v>1476</v>
      </c>
      <c r="G59" s="159" t="s">
        <v>1144</v>
      </c>
      <c r="H59" s="159" t="s">
        <v>1477</v>
      </c>
      <c r="I59" s="159" t="s">
        <v>306</v>
      </c>
      <c r="J59" s="159">
        <v>2023</v>
      </c>
      <c r="K59" s="159" t="s">
        <v>1478</v>
      </c>
      <c r="L59" s="159" t="s">
        <v>1479</v>
      </c>
      <c r="M59" s="161" t="s">
        <v>1480</v>
      </c>
      <c r="N59" s="159" t="s">
        <v>994</v>
      </c>
      <c r="O59" s="159" t="s">
        <v>1481</v>
      </c>
      <c r="P59" s="159" t="s">
        <v>518</v>
      </c>
      <c r="Q59" s="159" t="s">
        <v>203</v>
      </c>
      <c r="R59" s="161" t="s">
        <v>9</v>
      </c>
      <c r="S59" s="159" t="s">
        <v>9</v>
      </c>
      <c r="T59" s="159" t="s">
        <v>736</v>
      </c>
      <c r="U59" s="160">
        <v>45950</v>
      </c>
      <c r="V59" s="159" t="s">
        <v>1482</v>
      </c>
      <c r="W59" s="159" t="s">
        <v>215</v>
      </c>
      <c r="X59" s="159" t="s">
        <v>1483</v>
      </c>
      <c r="Y59" s="161" t="s">
        <v>1484</v>
      </c>
      <c r="Z59" s="159">
        <v>93722659</v>
      </c>
      <c r="AA59" s="159">
        <v>17</v>
      </c>
      <c r="AB59" s="162">
        <v>17</v>
      </c>
      <c r="AC59" s="159">
        <v>2502</v>
      </c>
      <c r="AD59" s="159" t="s">
        <v>736</v>
      </c>
      <c r="AE59" s="159" t="s">
        <v>9</v>
      </c>
      <c r="AF59" s="159" t="s">
        <v>9</v>
      </c>
      <c r="AG59" s="159" t="s">
        <v>1301</v>
      </c>
      <c r="AH59" s="159" t="s">
        <v>947</v>
      </c>
      <c r="AI59" s="160">
        <v>45950</v>
      </c>
      <c r="AJ59" s="163" t="s">
        <v>1485</v>
      </c>
      <c r="AK59" s="159" t="s">
        <v>233</v>
      </c>
    </row>
    <row r="60" spans="1:37" ht="14.25" customHeight="1">
      <c r="A60" s="159">
        <v>54</v>
      </c>
      <c r="B60" s="159" t="s">
        <v>191</v>
      </c>
      <c r="C60" s="159" t="s">
        <v>1014</v>
      </c>
      <c r="D60" s="160" t="s">
        <v>1486</v>
      </c>
      <c r="E60" s="159">
        <v>2504</v>
      </c>
      <c r="F60" s="159" t="s">
        <v>1487</v>
      </c>
      <c r="G60" s="159" t="s">
        <v>194</v>
      </c>
      <c r="H60" s="159" t="s">
        <v>1093</v>
      </c>
      <c r="I60" s="159" t="s">
        <v>447</v>
      </c>
      <c r="J60" s="159">
        <v>2015</v>
      </c>
      <c r="K60" s="159" t="s">
        <v>1488</v>
      </c>
      <c r="L60" s="159" t="s">
        <v>1489</v>
      </c>
      <c r="M60" s="161" t="s">
        <v>1490</v>
      </c>
      <c r="N60" s="159" t="s">
        <v>912</v>
      </c>
      <c r="O60" s="159" t="s">
        <v>1491</v>
      </c>
      <c r="P60" s="159" t="s">
        <v>492</v>
      </c>
      <c r="Q60" s="159" t="s">
        <v>9</v>
      </c>
      <c r="R60" s="161" t="s">
        <v>9</v>
      </c>
      <c r="S60" s="159" t="s">
        <v>9</v>
      </c>
      <c r="T60" s="159" t="s">
        <v>1492</v>
      </c>
      <c r="U60" s="160">
        <v>45936</v>
      </c>
      <c r="V60" s="159" t="s">
        <v>1493</v>
      </c>
      <c r="W60" s="159" t="s">
        <v>215</v>
      </c>
      <c r="X60" s="159" t="s">
        <v>1494</v>
      </c>
      <c r="Y60" s="161" t="s">
        <v>1495</v>
      </c>
      <c r="Z60" s="159">
        <v>93408855</v>
      </c>
      <c r="AA60" s="159">
        <v>2</v>
      </c>
      <c r="AB60" s="162">
        <v>2</v>
      </c>
      <c r="AC60" s="159">
        <v>2504</v>
      </c>
      <c r="AD60" s="159" t="s">
        <v>736</v>
      </c>
      <c r="AE60" s="159" t="s">
        <v>9</v>
      </c>
      <c r="AF60" s="159" t="s">
        <v>9</v>
      </c>
      <c r="AG60" s="159" t="s">
        <v>9</v>
      </c>
      <c r="AH60" s="159" t="s">
        <v>9</v>
      </c>
      <c r="AI60" s="160">
        <v>45936</v>
      </c>
      <c r="AJ60" s="163" t="s">
        <v>1496</v>
      </c>
      <c r="AK60" s="159" t="s">
        <v>248</v>
      </c>
    </row>
    <row r="61" spans="1:37" ht="14.25" customHeight="1">
      <c r="A61" s="5">
        <v>55</v>
      </c>
      <c r="B61" s="5" t="s">
        <v>191</v>
      </c>
      <c r="C61" s="62" t="s">
        <v>1014</v>
      </c>
      <c r="D61" s="97">
        <v>45937</v>
      </c>
      <c r="E61" s="5">
        <v>2505</v>
      </c>
      <c r="F61" s="5" t="s">
        <v>1497</v>
      </c>
      <c r="G61" s="5" t="s">
        <v>1206</v>
      </c>
      <c r="H61" s="5" t="s">
        <v>1498</v>
      </c>
      <c r="I61" s="5" t="s">
        <v>478</v>
      </c>
      <c r="J61" s="5">
        <v>2024</v>
      </c>
      <c r="K61" s="5" t="s">
        <v>1499</v>
      </c>
      <c r="L61" s="5" t="s">
        <v>1500</v>
      </c>
      <c r="M61" s="165" t="s">
        <v>1501</v>
      </c>
      <c r="N61" s="5" t="s">
        <v>1357</v>
      </c>
      <c r="O61" s="5" t="s">
        <v>1502</v>
      </c>
      <c r="P61" s="5" t="s">
        <v>1503</v>
      </c>
      <c r="Q61" s="5" t="s">
        <v>203</v>
      </c>
      <c r="R61" s="165" t="s">
        <v>9</v>
      </c>
      <c r="S61" s="5" t="s">
        <v>9</v>
      </c>
      <c r="T61" s="5" t="s">
        <v>1492</v>
      </c>
      <c r="U61" s="5"/>
      <c r="V61" s="5"/>
      <c r="W61" s="5"/>
      <c r="X61" s="5"/>
      <c r="Y61" s="165"/>
      <c r="Z61" s="5"/>
      <c r="AA61" s="5"/>
      <c r="AB61" s="71"/>
      <c r="AC61" s="5"/>
      <c r="AD61" s="5"/>
      <c r="AE61" s="5"/>
      <c r="AF61" s="5"/>
      <c r="AG61" s="5"/>
      <c r="AH61" s="5"/>
      <c r="AI61" s="5"/>
      <c r="AJ61" s="166"/>
      <c r="AK61" s="5"/>
    </row>
    <row r="62" spans="1:37" ht="14.25" customHeight="1">
      <c r="A62" s="5">
        <v>56</v>
      </c>
      <c r="B62" s="5" t="s">
        <v>191</v>
      </c>
      <c r="C62" s="5" t="s">
        <v>1014</v>
      </c>
      <c r="D62" s="2">
        <v>45939</v>
      </c>
      <c r="E62" s="5">
        <v>2507</v>
      </c>
      <c r="F62" s="5" t="s">
        <v>1504</v>
      </c>
      <c r="G62" s="5" t="s">
        <v>1505</v>
      </c>
      <c r="H62" s="5" t="s">
        <v>1506</v>
      </c>
      <c r="I62" s="5" t="s">
        <v>306</v>
      </c>
      <c r="J62" s="5">
        <v>2018</v>
      </c>
      <c r="K62" s="5" t="s">
        <v>1507</v>
      </c>
      <c r="L62" s="5" t="s">
        <v>1508</v>
      </c>
      <c r="M62" s="165" t="s">
        <v>1509</v>
      </c>
      <c r="N62" s="5" t="s">
        <v>912</v>
      </c>
      <c r="O62" s="5" t="s">
        <v>1510</v>
      </c>
      <c r="P62" s="5" t="s">
        <v>518</v>
      </c>
      <c r="Q62" s="5" t="s">
        <v>203</v>
      </c>
      <c r="R62" s="165" t="s">
        <v>9</v>
      </c>
      <c r="S62" s="5" t="s">
        <v>9</v>
      </c>
      <c r="T62" s="5" t="s">
        <v>736</v>
      </c>
      <c r="U62" s="5"/>
      <c r="V62" s="5"/>
      <c r="W62" s="5"/>
      <c r="X62" s="5"/>
      <c r="Y62" s="165"/>
      <c r="Z62" s="5"/>
      <c r="AA62" s="5"/>
      <c r="AB62" s="71"/>
      <c r="AC62" s="5"/>
      <c r="AD62" s="5"/>
      <c r="AE62" s="5"/>
      <c r="AF62" s="5"/>
      <c r="AG62" s="5"/>
      <c r="AH62" s="5"/>
      <c r="AI62" s="5"/>
      <c r="AJ62" s="166"/>
      <c r="AK62" s="5"/>
    </row>
    <row r="63" spans="1:37" ht="14.25" customHeight="1">
      <c r="A63" s="159">
        <v>57</v>
      </c>
      <c r="B63" s="159" t="s">
        <v>191</v>
      </c>
      <c r="C63" s="159" t="s">
        <v>1014</v>
      </c>
      <c r="D63" s="160">
        <v>45941</v>
      </c>
      <c r="E63" s="159">
        <v>2514</v>
      </c>
      <c r="F63" s="159" t="s">
        <v>1511</v>
      </c>
      <c r="G63" s="159" t="s">
        <v>194</v>
      </c>
      <c r="H63" s="159" t="s">
        <v>1187</v>
      </c>
      <c r="I63" s="159" t="s">
        <v>306</v>
      </c>
      <c r="J63" s="159">
        <v>2020</v>
      </c>
      <c r="K63" s="159" t="s">
        <v>1512</v>
      </c>
      <c r="L63" s="159" t="s">
        <v>1513</v>
      </c>
      <c r="M63" s="161" t="s">
        <v>1514</v>
      </c>
      <c r="N63" s="159" t="s">
        <v>912</v>
      </c>
      <c r="O63" s="159" t="s">
        <v>1515</v>
      </c>
      <c r="P63" s="159" t="s">
        <v>492</v>
      </c>
      <c r="Q63" s="159" t="s">
        <v>9</v>
      </c>
      <c r="R63" s="159" t="s">
        <v>9</v>
      </c>
      <c r="S63" s="159" t="s">
        <v>9</v>
      </c>
      <c r="T63" s="159" t="s">
        <v>1492</v>
      </c>
      <c r="U63" s="160">
        <v>45979</v>
      </c>
      <c r="V63" s="159" t="s">
        <v>1516</v>
      </c>
      <c r="W63" s="159" t="s">
        <v>215</v>
      </c>
      <c r="X63" s="159" t="s">
        <v>1517</v>
      </c>
      <c r="Y63" s="161" t="s">
        <v>1518</v>
      </c>
      <c r="Z63" s="159">
        <v>94416138</v>
      </c>
      <c r="AA63" s="159">
        <v>39</v>
      </c>
      <c r="AB63" s="162">
        <v>39</v>
      </c>
      <c r="AC63" s="159">
        <v>2514</v>
      </c>
      <c r="AD63" s="159" t="s">
        <v>736</v>
      </c>
      <c r="AE63" s="159" t="s">
        <v>9</v>
      </c>
      <c r="AF63" s="159" t="s">
        <v>9</v>
      </c>
      <c r="AG63" s="159" t="s">
        <v>9</v>
      </c>
      <c r="AH63" s="159" t="s">
        <v>9</v>
      </c>
      <c r="AI63" s="160">
        <v>45979</v>
      </c>
      <c r="AJ63" s="163" t="s">
        <v>1519</v>
      </c>
      <c r="AK63" s="159" t="s">
        <v>248</v>
      </c>
    </row>
    <row r="64" spans="1:37" ht="14.25" customHeight="1">
      <c r="A64" s="159">
        <v>58</v>
      </c>
      <c r="B64" s="159" t="s">
        <v>191</v>
      </c>
      <c r="C64" s="159" t="s">
        <v>1014</v>
      </c>
      <c r="D64" s="160">
        <v>45942</v>
      </c>
      <c r="E64" s="159">
        <v>2516</v>
      </c>
      <c r="F64" s="159" t="s">
        <v>1520</v>
      </c>
      <c r="G64" s="159" t="s">
        <v>1144</v>
      </c>
      <c r="H64" s="159" t="s">
        <v>1521</v>
      </c>
      <c r="I64" s="159" t="s">
        <v>196</v>
      </c>
      <c r="J64" s="159">
        <v>2020</v>
      </c>
      <c r="K64" s="159" t="s">
        <v>1522</v>
      </c>
      <c r="L64" s="159" t="s">
        <v>1523</v>
      </c>
      <c r="M64" s="161" t="s">
        <v>1524</v>
      </c>
      <c r="N64" s="159" t="s">
        <v>998</v>
      </c>
      <c r="O64" s="159" t="s">
        <v>1525</v>
      </c>
      <c r="P64" s="159" t="s">
        <v>518</v>
      </c>
      <c r="Q64" s="159" t="s">
        <v>203</v>
      </c>
      <c r="R64" s="159" t="s">
        <v>9</v>
      </c>
      <c r="S64" s="159" t="s">
        <v>9</v>
      </c>
      <c r="T64" s="159" t="s">
        <v>1492</v>
      </c>
      <c r="U64" s="160">
        <v>45996</v>
      </c>
      <c r="V64" s="159" t="s">
        <v>1526</v>
      </c>
      <c r="W64" s="159" t="s">
        <v>267</v>
      </c>
      <c r="X64" s="159" t="s">
        <v>1525</v>
      </c>
      <c r="Y64" s="161" t="s">
        <v>1527</v>
      </c>
      <c r="Z64" s="159">
        <v>94962180</v>
      </c>
      <c r="AA64" s="159">
        <v>55</v>
      </c>
      <c r="AB64" s="162">
        <v>55</v>
      </c>
      <c r="AC64" s="159">
        <v>2516</v>
      </c>
      <c r="AD64" s="159" t="s">
        <v>941</v>
      </c>
      <c r="AE64" s="159" t="s">
        <v>9</v>
      </c>
      <c r="AF64" s="159" t="s">
        <v>9</v>
      </c>
      <c r="AG64" s="159" t="s">
        <v>1301</v>
      </c>
      <c r="AH64" s="159" t="s">
        <v>1528</v>
      </c>
      <c r="AI64" s="160">
        <v>45996</v>
      </c>
      <c r="AJ64" s="163" t="s">
        <v>1529</v>
      </c>
      <c r="AK64" s="159" t="s">
        <v>948</v>
      </c>
    </row>
    <row r="65" spans="1:37" ht="14.25" customHeight="1">
      <c r="A65" s="159">
        <v>59</v>
      </c>
      <c r="B65" s="159" t="s">
        <v>191</v>
      </c>
      <c r="C65" s="159" t="s">
        <v>1014</v>
      </c>
      <c r="D65" s="160">
        <v>45945</v>
      </c>
      <c r="E65" s="159">
        <v>2519</v>
      </c>
      <c r="F65" s="159" t="s">
        <v>1530</v>
      </c>
      <c r="G65" s="159" t="s">
        <v>1071</v>
      </c>
      <c r="H65" s="159" t="s">
        <v>1531</v>
      </c>
      <c r="I65" s="159" t="s">
        <v>478</v>
      </c>
      <c r="J65" s="159">
        <v>2025</v>
      </c>
      <c r="K65" s="159" t="s">
        <v>1532</v>
      </c>
      <c r="L65" s="159" t="s">
        <v>1533</v>
      </c>
      <c r="M65" s="161" t="s">
        <v>1534</v>
      </c>
      <c r="N65" s="159" t="s">
        <v>1535</v>
      </c>
      <c r="O65" s="159" t="s">
        <v>1536</v>
      </c>
      <c r="P65" s="159" t="s">
        <v>518</v>
      </c>
      <c r="Q65" s="159" t="s">
        <v>203</v>
      </c>
      <c r="R65" s="159" t="s">
        <v>9</v>
      </c>
      <c r="S65" s="159" t="s">
        <v>9</v>
      </c>
      <c r="T65" s="159" t="s">
        <v>1492</v>
      </c>
      <c r="U65" s="160">
        <v>45968</v>
      </c>
      <c r="V65" s="159" t="s">
        <v>1537</v>
      </c>
      <c r="W65" s="159" t="s">
        <v>267</v>
      </c>
      <c r="X65" s="159" t="s">
        <v>1536</v>
      </c>
      <c r="Y65" s="161" t="s">
        <v>1538</v>
      </c>
      <c r="Z65" s="159">
        <v>94179281</v>
      </c>
      <c r="AA65" s="159">
        <v>24</v>
      </c>
      <c r="AB65" s="162">
        <v>24</v>
      </c>
      <c r="AC65" s="159">
        <v>2519</v>
      </c>
      <c r="AD65" s="159" t="s">
        <v>1037</v>
      </c>
      <c r="AE65" s="159" t="s">
        <v>9</v>
      </c>
      <c r="AF65" s="159" t="s">
        <v>9</v>
      </c>
      <c r="AG65" s="159" t="s">
        <v>1301</v>
      </c>
      <c r="AH65" s="159" t="s">
        <v>1539</v>
      </c>
      <c r="AI65" s="160">
        <v>45968</v>
      </c>
      <c r="AJ65" s="163" t="s">
        <v>1540</v>
      </c>
      <c r="AK65" s="159" t="s">
        <v>1292</v>
      </c>
    </row>
    <row r="66" spans="1:37" ht="14.25" customHeight="1">
      <c r="A66" s="159">
        <v>60</v>
      </c>
      <c r="B66" s="159" t="s">
        <v>191</v>
      </c>
      <c r="C66" s="159" t="s">
        <v>1014</v>
      </c>
      <c r="D66" s="160">
        <v>45945</v>
      </c>
      <c r="E66" s="159">
        <v>2520</v>
      </c>
      <c r="F66" s="159" t="s">
        <v>1541</v>
      </c>
      <c r="G66" s="159" t="s">
        <v>1249</v>
      </c>
      <c r="H66" s="159" t="s">
        <v>1542</v>
      </c>
      <c r="I66" s="159" t="s">
        <v>306</v>
      </c>
      <c r="J66" s="159">
        <v>2023</v>
      </c>
      <c r="K66" s="159" t="s">
        <v>1543</v>
      </c>
      <c r="L66" s="159" t="s">
        <v>1544</v>
      </c>
      <c r="M66" s="161" t="s">
        <v>1534</v>
      </c>
      <c r="N66" s="159" t="s">
        <v>1535</v>
      </c>
      <c r="O66" s="159" t="s">
        <v>1545</v>
      </c>
      <c r="P66" s="159" t="s">
        <v>518</v>
      </c>
      <c r="Q66" s="159" t="s">
        <v>203</v>
      </c>
      <c r="R66" s="159" t="s">
        <v>9</v>
      </c>
      <c r="S66" s="159" t="s">
        <v>9</v>
      </c>
      <c r="T66" s="159" t="s">
        <v>1492</v>
      </c>
      <c r="U66" s="160">
        <v>45994</v>
      </c>
      <c r="V66" s="159" t="s">
        <v>1546</v>
      </c>
      <c r="W66" s="159" t="s">
        <v>215</v>
      </c>
      <c r="X66" s="159" t="s">
        <v>1545</v>
      </c>
      <c r="Y66" s="161" t="s">
        <v>1547</v>
      </c>
      <c r="Z66" s="159">
        <v>94862273</v>
      </c>
      <c r="AA66" s="159">
        <v>50</v>
      </c>
      <c r="AB66" s="162">
        <v>50</v>
      </c>
      <c r="AC66" s="159">
        <v>2520</v>
      </c>
      <c r="AD66" s="159" t="s">
        <v>736</v>
      </c>
      <c r="AE66" s="159" t="s">
        <v>9</v>
      </c>
      <c r="AF66" s="159" t="s">
        <v>9</v>
      </c>
      <c r="AG66" s="159" t="s">
        <v>1301</v>
      </c>
      <c r="AH66" s="159" t="s">
        <v>1539</v>
      </c>
      <c r="AI66" s="160">
        <v>45994</v>
      </c>
      <c r="AJ66" s="163" t="s">
        <v>1548</v>
      </c>
      <c r="AK66" s="159" t="s">
        <v>248</v>
      </c>
    </row>
    <row r="67" spans="1:37" ht="14.25" customHeight="1">
      <c r="A67" s="159">
        <v>61</v>
      </c>
      <c r="B67" s="159" t="s">
        <v>191</v>
      </c>
      <c r="C67" s="159" t="s">
        <v>1014</v>
      </c>
      <c r="D67" s="160">
        <v>45948</v>
      </c>
      <c r="E67" s="159">
        <v>2522</v>
      </c>
      <c r="F67" s="159" t="s">
        <v>1549</v>
      </c>
      <c r="G67" s="159" t="s">
        <v>194</v>
      </c>
      <c r="H67" s="159" t="s">
        <v>1264</v>
      </c>
      <c r="I67" s="159" t="s">
        <v>306</v>
      </c>
      <c r="J67" s="159">
        <v>2013</v>
      </c>
      <c r="K67" s="159" t="s">
        <v>1550</v>
      </c>
      <c r="L67" s="159" t="s">
        <v>1551</v>
      </c>
      <c r="M67" s="161" t="s">
        <v>1552</v>
      </c>
      <c r="N67" s="159" t="s">
        <v>999</v>
      </c>
      <c r="O67" s="159" t="s">
        <v>1553</v>
      </c>
      <c r="P67" s="159" t="s">
        <v>518</v>
      </c>
      <c r="Q67" s="159" t="s">
        <v>203</v>
      </c>
      <c r="R67" s="161" t="s">
        <v>9</v>
      </c>
      <c r="S67" s="159" t="s">
        <v>9</v>
      </c>
      <c r="T67" s="159" t="s">
        <v>736</v>
      </c>
      <c r="U67" s="160">
        <v>45967</v>
      </c>
      <c r="V67" s="172" t="s">
        <v>1554</v>
      </c>
      <c r="W67" s="159" t="s">
        <v>215</v>
      </c>
      <c r="X67" s="159" t="s">
        <v>1555</v>
      </c>
      <c r="Y67" s="161" t="s">
        <v>1556</v>
      </c>
      <c r="Z67" s="159" t="s">
        <v>1557</v>
      </c>
      <c r="AA67" s="159">
        <v>20</v>
      </c>
      <c r="AB67" s="162">
        <v>20</v>
      </c>
      <c r="AC67" s="159">
        <v>2522</v>
      </c>
      <c r="AD67" s="159" t="s">
        <v>1037</v>
      </c>
      <c r="AE67" s="159" t="s">
        <v>9</v>
      </c>
      <c r="AF67" s="159" t="s">
        <v>9</v>
      </c>
      <c r="AG67" s="159" t="s">
        <v>9</v>
      </c>
      <c r="AH67" s="159" t="s">
        <v>9</v>
      </c>
      <c r="AI67" s="159" t="s">
        <v>1558</v>
      </c>
      <c r="AJ67" s="163" t="s">
        <v>1559</v>
      </c>
      <c r="AK67" s="159" t="s">
        <v>248</v>
      </c>
    </row>
    <row r="68" spans="1:37" ht="14.25" customHeight="1">
      <c r="A68" s="5">
        <v>62</v>
      </c>
      <c r="B68" s="5" t="s">
        <v>191</v>
      </c>
      <c r="C68" s="5" t="s">
        <v>1014</v>
      </c>
      <c r="D68" s="2">
        <v>45948</v>
      </c>
      <c r="E68" s="5">
        <v>2523</v>
      </c>
      <c r="F68" s="5" t="s">
        <v>1560</v>
      </c>
      <c r="G68" s="5" t="s">
        <v>1175</v>
      </c>
      <c r="H68" s="5" t="s">
        <v>1561</v>
      </c>
      <c r="I68" s="5" t="s">
        <v>306</v>
      </c>
      <c r="J68" s="5">
        <v>2014</v>
      </c>
      <c r="K68" s="5" t="s">
        <v>1562</v>
      </c>
      <c r="L68" s="5" t="s">
        <v>1563</v>
      </c>
      <c r="M68" s="165" t="s">
        <v>1564</v>
      </c>
      <c r="N68" s="5" t="s">
        <v>970</v>
      </c>
      <c r="O68" s="5" t="s">
        <v>1565</v>
      </c>
      <c r="P68" s="5" t="s">
        <v>518</v>
      </c>
      <c r="Q68" s="5" t="s">
        <v>203</v>
      </c>
      <c r="R68" s="165" t="s">
        <v>9</v>
      </c>
      <c r="S68" s="5" t="s">
        <v>9</v>
      </c>
      <c r="T68" s="5" t="s">
        <v>736</v>
      </c>
      <c r="U68" s="5"/>
      <c r="V68" s="5"/>
      <c r="W68" s="5"/>
      <c r="X68" s="5"/>
      <c r="Y68" s="165"/>
      <c r="Z68" s="5"/>
      <c r="AA68" s="5"/>
      <c r="AB68" s="71"/>
      <c r="AC68" s="5"/>
      <c r="AD68" s="5"/>
      <c r="AE68" s="5"/>
      <c r="AF68" s="5"/>
      <c r="AG68" s="5"/>
      <c r="AH68" s="5"/>
      <c r="AI68" s="5"/>
      <c r="AJ68" s="166"/>
      <c r="AK68" s="5"/>
    </row>
    <row r="69" spans="1:37" ht="14.25" customHeight="1">
      <c r="A69" s="159">
        <v>63</v>
      </c>
      <c r="B69" s="159" t="s">
        <v>191</v>
      </c>
      <c r="C69" s="159" t="s">
        <v>1014</v>
      </c>
      <c r="D69" s="160">
        <v>45949</v>
      </c>
      <c r="E69" s="159">
        <v>2525</v>
      </c>
      <c r="F69" s="159" t="s">
        <v>1566</v>
      </c>
      <c r="G69" s="159" t="s">
        <v>1249</v>
      </c>
      <c r="H69" s="159" t="s">
        <v>1250</v>
      </c>
      <c r="I69" s="159" t="s">
        <v>306</v>
      </c>
      <c r="J69" s="159">
        <v>2025</v>
      </c>
      <c r="K69" s="159" t="s">
        <v>1567</v>
      </c>
      <c r="L69" s="159" t="s">
        <v>1568</v>
      </c>
      <c r="M69" s="161" t="s">
        <v>1569</v>
      </c>
      <c r="N69" s="159" t="s">
        <v>912</v>
      </c>
      <c r="O69" s="159" t="s">
        <v>1570</v>
      </c>
      <c r="P69" s="159" t="s">
        <v>518</v>
      </c>
      <c r="Q69" s="159" t="s">
        <v>203</v>
      </c>
      <c r="R69" s="161" t="s">
        <v>9</v>
      </c>
      <c r="S69" s="159" t="s">
        <v>9</v>
      </c>
      <c r="T69" s="159" t="s">
        <v>934</v>
      </c>
      <c r="U69" s="160">
        <v>46002</v>
      </c>
      <c r="V69" s="159" t="s">
        <v>1571</v>
      </c>
      <c r="W69" s="159" t="s">
        <v>215</v>
      </c>
      <c r="X69" s="159" t="s">
        <v>1570</v>
      </c>
      <c r="Y69" s="161" t="s">
        <v>1572</v>
      </c>
      <c r="Z69" s="159">
        <v>95137008</v>
      </c>
      <c r="AA69" s="159">
        <v>54</v>
      </c>
      <c r="AB69" s="162">
        <v>54</v>
      </c>
      <c r="AC69" s="159">
        <v>2525</v>
      </c>
      <c r="AD69" s="159" t="s">
        <v>1573</v>
      </c>
      <c r="AE69" s="159" t="s">
        <v>9</v>
      </c>
      <c r="AF69" s="159" t="s">
        <v>9</v>
      </c>
      <c r="AG69" s="159" t="s">
        <v>1301</v>
      </c>
      <c r="AH69" s="159" t="s">
        <v>1574</v>
      </c>
      <c r="AI69" s="160">
        <v>46002</v>
      </c>
      <c r="AJ69" s="163" t="s">
        <v>1575</v>
      </c>
      <c r="AK69" s="159" t="s">
        <v>248</v>
      </c>
    </row>
    <row r="70" spans="1:37" ht="14.25" customHeight="1">
      <c r="A70" s="159">
        <v>64</v>
      </c>
      <c r="B70" s="159" t="s">
        <v>191</v>
      </c>
      <c r="C70" s="159" t="s">
        <v>1014</v>
      </c>
      <c r="D70" s="160">
        <v>45949</v>
      </c>
      <c r="E70" s="159">
        <v>2526</v>
      </c>
      <c r="F70" s="159" t="s">
        <v>1576</v>
      </c>
      <c r="G70" s="159" t="s">
        <v>1100</v>
      </c>
      <c r="H70" s="159" t="s">
        <v>1577</v>
      </c>
      <c r="I70" s="159" t="s">
        <v>478</v>
      </c>
      <c r="J70" s="159">
        <v>2021</v>
      </c>
      <c r="K70" s="159" t="s">
        <v>1578</v>
      </c>
      <c r="L70" s="159" t="s">
        <v>1579</v>
      </c>
      <c r="M70" s="161" t="s">
        <v>1569</v>
      </c>
      <c r="N70" s="159" t="s">
        <v>912</v>
      </c>
      <c r="O70" s="159" t="s">
        <v>1580</v>
      </c>
      <c r="P70" s="159" t="s">
        <v>518</v>
      </c>
      <c r="Q70" s="159" t="s">
        <v>203</v>
      </c>
      <c r="R70" s="161" t="s">
        <v>9</v>
      </c>
      <c r="S70" s="159" t="s">
        <v>9</v>
      </c>
      <c r="T70" s="159" t="s">
        <v>934</v>
      </c>
      <c r="U70" s="160">
        <v>45960</v>
      </c>
      <c r="V70" s="159" t="s">
        <v>1581</v>
      </c>
      <c r="W70" s="159" t="s">
        <v>215</v>
      </c>
      <c r="X70" s="159" t="s">
        <v>1582</v>
      </c>
      <c r="Y70" s="161" t="s">
        <v>1583</v>
      </c>
      <c r="Z70" s="159">
        <v>94011087</v>
      </c>
      <c r="AA70" s="159">
        <v>12</v>
      </c>
      <c r="AB70" s="162">
        <v>12</v>
      </c>
      <c r="AC70" s="159">
        <v>2526</v>
      </c>
      <c r="AD70" s="159" t="s">
        <v>736</v>
      </c>
      <c r="AE70" s="159" t="s">
        <v>9</v>
      </c>
      <c r="AF70" s="159" t="s">
        <v>9</v>
      </c>
      <c r="AG70" s="159" t="s">
        <v>1301</v>
      </c>
      <c r="AH70" s="159" t="s">
        <v>1574</v>
      </c>
      <c r="AI70" s="160">
        <v>45960</v>
      </c>
      <c r="AJ70" s="163" t="s">
        <v>1584</v>
      </c>
      <c r="AK70" s="159" t="s">
        <v>248</v>
      </c>
    </row>
    <row r="71" spans="1:37" ht="14.25" customHeight="1">
      <c r="A71" s="159">
        <v>65</v>
      </c>
      <c r="B71" s="159" t="s">
        <v>191</v>
      </c>
      <c r="C71" s="159" t="s">
        <v>1014</v>
      </c>
      <c r="D71" s="160">
        <v>45964</v>
      </c>
      <c r="E71" s="159">
        <v>2531</v>
      </c>
      <c r="F71" s="159" t="s">
        <v>1585</v>
      </c>
      <c r="G71" s="159" t="s">
        <v>1249</v>
      </c>
      <c r="H71" s="159" t="s">
        <v>1250</v>
      </c>
      <c r="I71" s="159" t="s">
        <v>306</v>
      </c>
      <c r="J71" s="159">
        <v>2026</v>
      </c>
      <c r="K71" s="159" t="s">
        <v>1586</v>
      </c>
      <c r="L71" s="159" t="s">
        <v>1587</v>
      </c>
      <c r="M71" s="161" t="s">
        <v>1588</v>
      </c>
      <c r="N71" s="159" t="s">
        <v>200</v>
      </c>
      <c r="O71" s="159" t="s">
        <v>1589</v>
      </c>
      <c r="P71" s="159" t="s">
        <v>518</v>
      </c>
      <c r="Q71" s="159" t="s">
        <v>203</v>
      </c>
      <c r="R71" s="161" t="s">
        <v>9</v>
      </c>
      <c r="S71" s="159" t="s">
        <v>9</v>
      </c>
      <c r="T71" s="159" t="s">
        <v>934</v>
      </c>
      <c r="U71" s="160">
        <v>45997</v>
      </c>
      <c r="V71" s="159" t="s">
        <v>1590</v>
      </c>
      <c r="W71" s="159" t="s">
        <v>267</v>
      </c>
      <c r="X71" s="159" t="s">
        <v>1589</v>
      </c>
      <c r="Y71" s="161" t="s">
        <v>1591</v>
      </c>
      <c r="Z71" s="159">
        <v>94967890</v>
      </c>
      <c r="AA71" s="159">
        <v>34</v>
      </c>
      <c r="AB71" s="162">
        <v>34</v>
      </c>
      <c r="AC71" s="159">
        <v>2531</v>
      </c>
      <c r="AD71" s="159" t="s">
        <v>736</v>
      </c>
      <c r="AE71" s="159" t="s">
        <v>9</v>
      </c>
      <c r="AF71" s="159" t="s">
        <v>9</v>
      </c>
      <c r="AG71" s="159" t="s">
        <v>1301</v>
      </c>
      <c r="AH71" s="159" t="s">
        <v>932</v>
      </c>
      <c r="AI71" s="160">
        <v>45997</v>
      </c>
      <c r="AJ71" s="163" t="s">
        <v>1592</v>
      </c>
      <c r="AK71" s="159" t="s">
        <v>233</v>
      </c>
    </row>
    <row r="72" spans="1:37" ht="14.25" customHeight="1">
      <c r="A72" s="159">
        <v>66</v>
      </c>
      <c r="B72" s="159" t="s">
        <v>191</v>
      </c>
      <c r="C72" s="159" t="s">
        <v>1014</v>
      </c>
      <c r="D72" s="160">
        <v>45965</v>
      </c>
      <c r="E72" s="159">
        <v>2532</v>
      </c>
      <c r="F72" s="159" t="s">
        <v>1593</v>
      </c>
      <c r="G72" s="159" t="s">
        <v>1163</v>
      </c>
      <c r="H72" s="159" t="s">
        <v>1594</v>
      </c>
      <c r="I72" s="159" t="s">
        <v>306</v>
      </c>
      <c r="J72" s="159">
        <v>2022</v>
      </c>
      <c r="K72" s="159" t="s">
        <v>1595</v>
      </c>
      <c r="L72" s="159" t="s">
        <v>1596</v>
      </c>
      <c r="M72" s="161" t="s">
        <v>1597</v>
      </c>
      <c r="N72" s="159" t="s">
        <v>934</v>
      </c>
      <c r="O72" s="159" t="s">
        <v>1598</v>
      </c>
      <c r="P72" s="159" t="s">
        <v>492</v>
      </c>
      <c r="Q72" s="159" t="s">
        <v>9</v>
      </c>
      <c r="R72" s="161" t="s">
        <v>9</v>
      </c>
      <c r="S72" s="159" t="s">
        <v>9</v>
      </c>
      <c r="T72" s="159" t="s">
        <v>934</v>
      </c>
      <c r="U72" s="160">
        <v>45966</v>
      </c>
      <c r="V72" s="159" t="s">
        <v>1599</v>
      </c>
      <c r="W72" s="159" t="s">
        <v>1600</v>
      </c>
      <c r="X72" s="159" t="s">
        <v>1601</v>
      </c>
      <c r="Y72" s="161" t="s">
        <v>1602</v>
      </c>
      <c r="Z72" s="159">
        <v>94103111</v>
      </c>
      <c r="AA72" s="159">
        <v>2</v>
      </c>
      <c r="AB72" s="162">
        <v>2</v>
      </c>
      <c r="AC72" s="159">
        <v>2532</v>
      </c>
      <c r="AD72" s="159" t="s">
        <v>934</v>
      </c>
      <c r="AE72" s="159" t="s">
        <v>9</v>
      </c>
      <c r="AF72" s="159" t="s">
        <v>9</v>
      </c>
      <c r="AG72" s="159" t="s">
        <v>9</v>
      </c>
      <c r="AH72" s="159" t="s">
        <v>9</v>
      </c>
      <c r="AI72" s="160">
        <v>45966</v>
      </c>
      <c r="AJ72" s="163" t="s">
        <v>1603</v>
      </c>
      <c r="AK72" s="159" t="s">
        <v>248</v>
      </c>
    </row>
    <row r="73" spans="1:37" ht="14.25" customHeight="1">
      <c r="A73" s="62">
        <v>67</v>
      </c>
      <c r="B73" s="62" t="s">
        <v>191</v>
      </c>
      <c r="C73" s="62" t="s">
        <v>1014</v>
      </c>
      <c r="D73" s="97">
        <v>45970</v>
      </c>
      <c r="E73" s="5">
        <v>2534</v>
      </c>
      <c r="F73" s="5" t="s">
        <v>1604</v>
      </c>
      <c r="G73" s="5" t="s">
        <v>1213</v>
      </c>
      <c r="H73" s="5" t="s">
        <v>1605</v>
      </c>
      <c r="I73" s="5" t="s">
        <v>306</v>
      </c>
      <c r="J73" s="5">
        <v>2015</v>
      </c>
      <c r="K73" s="5" t="s">
        <v>1606</v>
      </c>
      <c r="L73" s="5" t="s">
        <v>1607</v>
      </c>
      <c r="M73" s="165" t="s">
        <v>1608</v>
      </c>
      <c r="N73" s="5" t="s">
        <v>999</v>
      </c>
      <c r="O73" s="5" t="s">
        <v>1609</v>
      </c>
      <c r="P73" s="5" t="s">
        <v>518</v>
      </c>
      <c r="Q73" s="5" t="s">
        <v>203</v>
      </c>
      <c r="R73" s="165" t="s">
        <v>9</v>
      </c>
      <c r="S73" s="5" t="s">
        <v>9</v>
      </c>
      <c r="T73" s="5" t="s">
        <v>538</v>
      </c>
      <c r="U73" s="5"/>
      <c r="V73" s="5"/>
      <c r="W73" s="5"/>
      <c r="X73" s="5"/>
      <c r="Y73" s="165"/>
      <c r="Z73" s="5"/>
      <c r="AA73" s="5"/>
      <c r="AB73" s="71"/>
      <c r="AC73" s="5"/>
      <c r="AD73" s="5"/>
      <c r="AE73" s="5"/>
      <c r="AF73" s="5"/>
      <c r="AG73" s="5"/>
      <c r="AH73" s="5"/>
      <c r="AI73" s="5"/>
      <c r="AJ73" s="166"/>
      <c r="AK73" s="5"/>
    </row>
    <row r="74" spans="1:37" ht="14.25" customHeight="1">
      <c r="A74" s="5">
        <v>68</v>
      </c>
      <c r="B74" s="5" t="s">
        <v>191</v>
      </c>
      <c r="C74" s="5" t="s">
        <v>1014</v>
      </c>
      <c r="D74" s="2">
        <v>45977</v>
      </c>
      <c r="E74" s="5">
        <v>2536</v>
      </c>
      <c r="F74" s="5" t="s">
        <v>1610</v>
      </c>
      <c r="G74" s="5" t="s">
        <v>1206</v>
      </c>
      <c r="H74" s="5" t="s">
        <v>1611</v>
      </c>
      <c r="I74" s="5" t="s">
        <v>306</v>
      </c>
      <c r="J74" s="5">
        <v>2021</v>
      </c>
      <c r="K74" s="5" t="s">
        <v>1612</v>
      </c>
      <c r="L74" s="5" t="s">
        <v>1613</v>
      </c>
      <c r="M74" s="165" t="s">
        <v>1614</v>
      </c>
      <c r="N74" s="5" t="s">
        <v>1615</v>
      </c>
      <c r="O74" s="5" t="s">
        <v>1616</v>
      </c>
      <c r="P74" s="5" t="s">
        <v>492</v>
      </c>
      <c r="Q74" s="5" t="s">
        <v>9</v>
      </c>
      <c r="R74" s="165" t="s">
        <v>9</v>
      </c>
      <c r="S74" s="5" t="s">
        <v>9</v>
      </c>
      <c r="T74" s="5" t="s">
        <v>736</v>
      </c>
      <c r="U74" s="5"/>
      <c r="V74" s="5"/>
      <c r="W74" s="5"/>
      <c r="X74" s="5"/>
      <c r="Y74" s="165"/>
      <c r="Z74" s="5"/>
      <c r="AA74" s="5"/>
      <c r="AB74" s="71"/>
      <c r="AC74" s="5"/>
      <c r="AD74" s="5"/>
      <c r="AE74" s="5"/>
      <c r="AF74" s="5"/>
      <c r="AG74" s="5"/>
      <c r="AH74" s="5"/>
      <c r="AI74" s="5"/>
      <c r="AJ74" s="166"/>
      <c r="AK74" s="5"/>
    </row>
    <row r="75" spans="1:37" ht="14.25" customHeight="1">
      <c r="A75" s="5">
        <v>69</v>
      </c>
      <c r="B75" s="5" t="s">
        <v>191</v>
      </c>
      <c r="C75" s="5" t="s">
        <v>1014</v>
      </c>
      <c r="D75" s="2">
        <v>45981</v>
      </c>
      <c r="E75" s="5">
        <v>2540</v>
      </c>
      <c r="F75" s="5" t="s">
        <v>1617</v>
      </c>
      <c r="G75" s="5" t="s">
        <v>1126</v>
      </c>
      <c r="H75" s="5" t="s">
        <v>1447</v>
      </c>
      <c r="I75" s="5" t="s">
        <v>306</v>
      </c>
      <c r="J75" s="5">
        <v>2018</v>
      </c>
      <c r="K75" s="5" t="s">
        <v>1618</v>
      </c>
      <c r="L75" s="5" t="s">
        <v>1619</v>
      </c>
      <c r="M75" s="165" t="s">
        <v>1620</v>
      </c>
      <c r="N75" s="5" t="s">
        <v>1621</v>
      </c>
      <c r="O75" s="5" t="s">
        <v>1622</v>
      </c>
      <c r="P75" s="5" t="s">
        <v>518</v>
      </c>
      <c r="Q75" s="5" t="s">
        <v>203</v>
      </c>
      <c r="R75" s="165" t="s">
        <v>9</v>
      </c>
      <c r="S75" s="5" t="s">
        <v>9</v>
      </c>
      <c r="T75" s="5" t="s">
        <v>736</v>
      </c>
      <c r="U75" s="5"/>
      <c r="V75" s="5"/>
      <c r="W75" s="5"/>
      <c r="X75" s="5"/>
      <c r="Y75" s="165"/>
      <c r="Z75" s="5"/>
      <c r="AA75" s="5"/>
      <c r="AB75" s="71"/>
      <c r="AC75" s="5"/>
      <c r="AD75" s="5"/>
      <c r="AE75" s="5"/>
      <c r="AF75" s="5"/>
      <c r="AG75" s="5"/>
      <c r="AH75" s="5"/>
      <c r="AI75" s="5"/>
      <c r="AJ75" s="166"/>
      <c r="AK75" s="5"/>
    </row>
    <row r="76" spans="1:37" ht="14.25" customHeight="1">
      <c r="A76" s="5">
        <v>70</v>
      </c>
      <c r="B76" s="5" t="s">
        <v>191</v>
      </c>
      <c r="C76" s="5" t="s">
        <v>1014</v>
      </c>
      <c r="D76" s="2">
        <v>45989</v>
      </c>
      <c r="E76" s="5">
        <v>2546</v>
      </c>
      <c r="F76" s="5" t="s">
        <v>1623</v>
      </c>
      <c r="G76" s="5" t="s">
        <v>194</v>
      </c>
      <c r="H76" s="5" t="s">
        <v>1624</v>
      </c>
      <c r="I76" s="5" t="s">
        <v>196</v>
      </c>
      <c r="J76" s="5">
        <v>2019</v>
      </c>
      <c r="K76" s="5" t="s">
        <v>1625</v>
      </c>
      <c r="L76" s="5" t="s">
        <v>1626</v>
      </c>
      <c r="M76" s="165" t="s">
        <v>1627</v>
      </c>
      <c r="N76" s="5" t="s">
        <v>501</v>
      </c>
      <c r="O76" s="5" t="s">
        <v>1628</v>
      </c>
      <c r="P76" s="5" t="s">
        <v>518</v>
      </c>
      <c r="Q76" s="5" t="s">
        <v>203</v>
      </c>
      <c r="R76" s="165" t="s">
        <v>9</v>
      </c>
      <c r="S76" s="5" t="s">
        <v>9</v>
      </c>
      <c r="T76" s="5" t="s">
        <v>736</v>
      </c>
      <c r="U76" s="5"/>
      <c r="V76" s="5"/>
      <c r="W76" s="5"/>
      <c r="X76" s="5"/>
      <c r="Y76" s="165"/>
      <c r="Z76" s="5"/>
      <c r="AA76" s="5"/>
      <c r="AB76" s="71"/>
      <c r="AC76" s="5"/>
      <c r="AD76" s="5"/>
      <c r="AE76" s="5"/>
      <c r="AF76" s="5"/>
      <c r="AG76" s="5"/>
      <c r="AH76" s="62"/>
      <c r="AI76" s="5"/>
      <c r="AJ76" s="166"/>
      <c r="AK76" s="5"/>
    </row>
    <row r="77" spans="1:37" ht="14.25" customHeight="1">
      <c r="A77" s="5">
        <v>71</v>
      </c>
      <c r="B77" s="5" t="s">
        <v>191</v>
      </c>
      <c r="C77" s="5" t="s">
        <v>1014</v>
      </c>
      <c r="D77" s="2">
        <v>45996</v>
      </c>
      <c r="E77" s="5">
        <v>2547</v>
      </c>
      <c r="F77" s="5" t="s">
        <v>1629</v>
      </c>
      <c r="G77" s="5" t="s">
        <v>1630</v>
      </c>
      <c r="H77" s="5" t="s">
        <v>1631</v>
      </c>
      <c r="I77" s="5" t="s">
        <v>306</v>
      </c>
      <c r="J77" s="5">
        <v>2011</v>
      </c>
      <c r="K77" s="5" t="s">
        <v>1632</v>
      </c>
      <c r="L77" s="5" t="s">
        <v>1633</v>
      </c>
      <c r="M77" s="165" t="s">
        <v>1634</v>
      </c>
      <c r="N77" s="5" t="s">
        <v>1006</v>
      </c>
      <c r="O77" s="5" t="s">
        <v>1635</v>
      </c>
      <c r="P77" s="5" t="s">
        <v>518</v>
      </c>
      <c r="Q77" s="5" t="s">
        <v>203</v>
      </c>
      <c r="R77" s="165" t="s">
        <v>9</v>
      </c>
      <c r="S77" s="165" t="s">
        <v>9</v>
      </c>
      <c r="T77" s="5" t="s">
        <v>1636</v>
      </c>
      <c r="U77" s="5"/>
      <c r="V77" s="5"/>
      <c r="W77" s="5"/>
      <c r="X77" s="5"/>
      <c r="Y77" s="165"/>
      <c r="Z77" s="5"/>
      <c r="AA77" s="5"/>
      <c r="AB77" s="71"/>
      <c r="AC77" s="5"/>
      <c r="AD77" s="5"/>
      <c r="AE77" s="5"/>
      <c r="AF77" s="5"/>
      <c r="AG77" s="5"/>
      <c r="AH77" s="5"/>
      <c r="AI77" s="5"/>
      <c r="AJ77" s="166"/>
      <c r="AK77" s="5"/>
    </row>
    <row r="78" spans="1:37" ht="14.25" customHeight="1">
      <c r="A78" s="159">
        <v>72</v>
      </c>
      <c r="B78" s="159" t="s">
        <v>191</v>
      </c>
      <c r="C78" s="159" t="s">
        <v>1014</v>
      </c>
      <c r="D78" s="160">
        <v>46000</v>
      </c>
      <c r="E78" s="159">
        <v>2553</v>
      </c>
      <c r="F78" s="159" t="s">
        <v>1637</v>
      </c>
      <c r="G78" s="159" t="s">
        <v>1163</v>
      </c>
      <c r="H78" s="159" t="s">
        <v>1638</v>
      </c>
      <c r="I78" s="159" t="s">
        <v>306</v>
      </c>
      <c r="J78" s="159">
        <v>2018</v>
      </c>
      <c r="K78" s="159" t="s">
        <v>1639</v>
      </c>
      <c r="L78" s="159" t="s">
        <v>1640</v>
      </c>
      <c r="M78" s="161" t="s">
        <v>1641</v>
      </c>
      <c r="N78" s="159" t="s">
        <v>560</v>
      </c>
      <c r="O78" s="159" t="s">
        <v>1642</v>
      </c>
      <c r="P78" s="159" t="s">
        <v>492</v>
      </c>
      <c r="Q78" s="159" t="s">
        <v>9</v>
      </c>
      <c r="R78" s="161" t="s">
        <v>9</v>
      </c>
      <c r="S78" s="159" t="s">
        <v>9</v>
      </c>
      <c r="T78" s="159" t="s">
        <v>736</v>
      </c>
      <c r="U78" s="160">
        <v>46031</v>
      </c>
      <c r="V78" s="159" t="s">
        <v>1643</v>
      </c>
      <c r="W78" s="159" t="s">
        <v>215</v>
      </c>
      <c r="X78" s="159" t="s">
        <v>1644</v>
      </c>
      <c r="Y78" s="161" t="s">
        <v>1645</v>
      </c>
      <c r="Z78" s="159">
        <v>95768260</v>
      </c>
      <c r="AA78" s="159">
        <v>32</v>
      </c>
      <c r="AB78" s="162">
        <v>32</v>
      </c>
      <c r="AC78" s="159">
        <v>2553</v>
      </c>
      <c r="AD78" s="159" t="s">
        <v>736</v>
      </c>
      <c r="AE78" s="159" t="s">
        <v>9</v>
      </c>
      <c r="AF78" s="159" t="s">
        <v>9</v>
      </c>
      <c r="AG78" s="159" t="s">
        <v>9</v>
      </c>
      <c r="AH78" s="159" t="s">
        <v>9</v>
      </c>
      <c r="AI78" s="160">
        <v>46031</v>
      </c>
      <c r="AJ78" s="163" t="s">
        <v>1646</v>
      </c>
      <c r="AK78" s="159" t="s">
        <v>248</v>
      </c>
    </row>
    <row r="79" spans="1:37" ht="14.25" customHeight="1">
      <c r="A79" s="159">
        <v>73</v>
      </c>
      <c r="B79" s="159" t="s">
        <v>191</v>
      </c>
      <c r="C79" s="159" t="s">
        <v>1014</v>
      </c>
      <c r="D79" s="160">
        <v>46011</v>
      </c>
      <c r="E79" s="159">
        <v>2557</v>
      </c>
      <c r="F79" s="159" t="s">
        <v>1647</v>
      </c>
      <c r="G79" s="159" t="s">
        <v>1126</v>
      </c>
      <c r="H79" s="159" t="s">
        <v>1648</v>
      </c>
      <c r="I79" s="159" t="s">
        <v>458</v>
      </c>
      <c r="J79" s="159">
        <v>2022</v>
      </c>
      <c r="K79" s="159" t="s">
        <v>1649</v>
      </c>
      <c r="L79" s="159" t="s">
        <v>1650</v>
      </c>
      <c r="M79" s="161" t="s">
        <v>1651</v>
      </c>
      <c r="N79" s="159" t="s">
        <v>1652</v>
      </c>
      <c r="O79" s="159" t="s">
        <v>1653</v>
      </c>
      <c r="P79" s="159" t="s">
        <v>518</v>
      </c>
      <c r="Q79" s="159" t="s">
        <v>203</v>
      </c>
      <c r="R79" s="161" t="s">
        <v>9</v>
      </c>
      <c r="S79" s="161" t="s">
        <v>9</v>
      </c>
      <c r="T79" s="159" t="s">
        <v>538</v>
      </c>
      <c r="U79" s="160">
        <v>46021</v>
      </c>
      <c r="V79" s="159" t="s">
        <v>1654</v>
      </c>
      <c r="W79" s="159" t="s">
        <v>215</v>
      </c>
      <c r="X79" s="159" t="s">
        <v>1653</v>
      </c>
      <c r="Y79" s="161" t="s">
        <v>1655</v>
      </c>
      <c r="Z79" s="159">
        <v>95618977</v>
      </c>
      <c r="AA79" s="159">
        <v>11</v>
      </c>
      <c r="AB79" s="162">
        <v>11</v>
      </c>
      <c r="AC79" s="159">
        <v>2557</v>
      </c>
      <c r="AD79" s="159" t="s">
        <v>736</v>
      </c>
      <c r="AE79" s="159" t="s">
        <v>9</v>
      </c>
      <c r="AF79" s="159" t="s">
        <v>9</v>
      </c>
      <c r="AG79" s="159" t="s">
        <v>1301</v>
      </c>
      <c r="AH79" s="159" t="s">
        <v>249</v>
      </c>
      <c r="AI79" s="160">
        <v>46021</v>
      </c>
      <c r="AJ79" s="163" t="s">
        <v>1656</v>
      </c>
      <c r="AK79" s="159" t="s">
        <v>248</v>
      </c>
    </row>
    <row r="80" spans="1:37" ht="14.25" customHeight="1">
      <c r="A80" s="5">
        <v>74</v>
      </c>
      <c r="B80" s="5" t="s">
        <v>191</v>
      </c>
      <c r="C80" s="5" t="s">
        <v>1014</v>
      </c>
      <c r="D80" s="2">
        <v>46012</v>
      </c>
      <c r="E80" s="5">
        <v>2558</v>
      </c>
      <c r="F80" s="5" t="s">
        <v>1657</v>
      </c>
      <c r="G80" s="5" t="s">
        <v>1249</v>
      </c>
      <c r="H80" s="5" t="s">
        <v>1658</v>
      </c>
      <c r="I80" s="5" t="s">
        <v>306</v>
      </c>
      <c r="J80" s="5">
        <v>2008</v>
      </c>
      <c r="K80" s="5" t="s">
        <v>1659</v>
      </c>
      <c r="L80" s="5" t="s">
        <v>1660</v>
      </c>
      <c r="M80" s="165" t="s">
        <v>1661</v>
      </c>
      <c r="N80" s="5" t="s">
        <v>1662</v>
      </c>
      <c r="O80" s="5" t="s">
        <v>1663</v>
      </c>
      <c r="P80" s="5" t="s">
        <v>518</v>
      </c>
      <c r="Q80" s="5" t="s">
        <v>203</v>
      </c>
      <c r="R80" s="165" t="s">
        <v>9</v>
      </c>
      <c r="S80" s="165" t="s">
        <v>9</v>
      </c>
      <c r="T80" s="5" t="s">
        <v>538</v>
      </c>
      <c r="U80" s="5"/>
      <c r="V80" s="5"/>
      <c r="W80" s="5"/>
      <c r="X80" s="5"/>
      <c r="Y80" s="165"/>
      <c r="Z80" s="5"/>
      <c r="AA80" s="5"/>
      <c r="AB80" s="71"/>
      <c r="AC80" s="5"/>
      <c r="AD80" s="5"/>
      <c r="AE80" s="5"/>
      <c r="AF80" s="5"/>
      <c r="AG80" s="5"/>
      <c r="AH80" s="5"/>
      <c r="AI80" s="5"/>
      <c r="AJ80" s="166"/>
      <c r="AK80" s="5"/>
    </row>
    <row r="81" spans="1:37" ht="14.25" customHeight="1">
      <c r="A81" s="159">
        <v>75</v>
      </c>
      <c r="B81" s="159" t="s">
        <v>191</v>
      </c>
      <c r="C81" s="159" t="s">
        <v>1014</v>
      </c>
      <c r="D81" s="160">
        <v>46022</v>
      </c>
      <c r="E81" s="159">
        <v>2563</v>
      </c>
      <c r="F81" s="159" t="s">
        <v>1664</v>
      </c>
      <c r="G81" s="159" t="s">
        <v>1115</v>
      </c>
      <c r="H81" s="159" t="s">
        <v>1665</v>
      </c>
      <c r="I81" s="159" t="s">
        <v>306</v>
      </c>
      <c r="J81" s="159">
        <v>2026</v>
      </c>
      <c r="K81" s="159" t="s">
        <v>1666</v>
      </c>
      <c r="L81" s="159" t="s">
        <v>1667</v>
      </c>
      <c r="M81" s="161" t="s">
        <v>1668</v>
      </c>
      <c r="N81" s="159" t="s">
        <v>1669</v>
      </c>
      <c r="O81" s="159" t="s">
        <v>1670</v>
      </c>
      <c r="P81" s="159" t="s">
        <v>1671</v>
      </c>
      <c r="Q81" s="159" t="s">
        <v>203</v>
      </c>
      <c r="R81" s="161" t="s">
        <v>9</v>
      </c>
      <c r="S81" s="159" t="s">
        <v>9</v>
      </c>
      <c r="T81" s="159" t="s">
        <v>736</v>
      </c>
      <c r="U81" s="160">
        <v>46065</v>
      </c>
      <c r="V81" s="159" t="s">
        <v>1672</v>
      </c>
      <c r="W81" s="159" t="s">
        <v>267</v>
      </c>
      <c r="X81" s="159" t="s">
        <v>1673</v>
      </c>
      <c r="Y81" s="161" t="s">
        <v>1674</v>
      </c>
      <c r="Z81" s="159">
        <v>96323609</v>
      </c>
      <c r="AA81" s="159">
        <v>44</v>
      </c>
      <c r="AB81" s="162">
        <v>44</v>
      </c>
      <c r="AC81" s="159">
        <v>2563</v>
      </c>
      <c r="AD81" s="159" t="s">
        <v>941</v>
      </c>
      <c r="AE81" s="159">
        <v>96320475</v>
      </c>
      <c r="AF81" s="162">
        <v>85</v>
      </c>
      <c r="AG81" s="159" t="s">
        <v>9</v>
      </c>
      <c r="AH81" s="159" t="s">
        <v>9</v>
      </c>
      <c r="AI81" s="160">
        <v>46065</v>
      </c>
      <c r="AJ81" s="163" t="s">
        <v>1675</v>
      </c>
      <c r="AK81" s="159" t="s">
        <v>233</v>
      </c>
    </row>
    <row r="82" spans="1:37" ht="21" customHeight="1">
      <c r="A82" s="298">
        <v>2026</v>
      </c>
      <c r="B82" s="253"/>
      <c r="C82" s="253"/>
      <c r="D82" s="253"/>
      <c r="E82" s="253"/>
      <c r="F82" s="253"/>
      <c r="G82" s="253"/>
      <c r="H82" s="253"/>
      <c r="I82" s="253"/>
      <c r="J82" s="253"/>
      <c r="K82" s="253"/>
      <c r="L82" s="253"/>
      <c r="M82" s="253"/>
      <c r="N82" s="253"/>
      <c r="O82" s="253"/>
      <c r="P82" s="253"/>
      <c r="Q82" s="253"/>
      <c r="R82" s="253"/>
      <c r="S82" s="253"/>
      <c r="T82" s="253"/>
      <c r="U82" s="253"/>
      <c r="V82" s="253"/>
      <c r="W82" s="253"/>
      <c r="X82" s="253"/>
      <c r="Y82" s="253"/>
      <c r="Z82" s="253"/>
      <c r="AA82" s="253"/>
      <c r="AB82" s="253"/>
      <c r="AC82" s="253"/>
      <c r="AD82" s="253"/>
      <c r="AE82" s="253"/>
      <c r="AF82" s="253"/>
      <c r="AG82" s="253"/>
      <c r="AH82" s="253"/>
      <c r="AI82" s="253"/>
      <c r="AJ82" s="253"/>
      <c r="AK82" s="254"/>
    </row>
    <row r="83" spans="1:37" ht="14.25" customHeight="1">
      <c r="A83" s="5">
        <v>76</v>
      </c>
      <c r="B83" s="5" t="s">
        <v>191</v>
      </c>
      <c r="C83" s="5" t="s">
        <v>1014</v>
      </c>
      <c r="D83" s="2">
        <v>46024</v>
      </c>
      <c r="E83" s="5">
        <v>2564</v>
      </c>
      <c r="F83" s="5" t="s">
        <v>1676</v>
      </c>
      <c r="G83" s="5" t="s">
        <v>1677</v>
      </c>
      <c r="H83" s="5" t="s">
        <v>1678</v>
      </c>
      <c r="I83" s="5" t="s">
        <v>306</v>
      </c>
      <c r="J83" s="5">
        <v>2026</v>
      </c>
      <c r="K83" s="5" t="s">
        <v>1679</v>
      </c>
      <c r="L83" s="5" t="s">
        <v>1680</v>
      </c>
      <c r="M83" s="165" t="s">
        <v>1681</v>
      </c>
      <c r="N83" s="5" t="s">
        <v>501</v>
      </c>
      <c r="O83" s="5" t="s">
        <v>1682</v>
      </c>
      <c r="P83" s="5" t="s">
        <v>1262</v>
      </c>
      <c r="Q83" s="5" t="s">
        <v>203</v>
      </c>
      <c r="R83" s="165" t="s">
        <v>9</v>
      </c>
      <c r="S83" s="5" t="s">
        <v>9</v>
      </c>
      <c r="T83" s="5" t="s">
        <v>736</v>
      </c>
      <c r="U83" s="5"/>
      <c r="V83" s="5"/>
      <c r="W83" s="5"/>
      <c r="X83" s="5"/>
      <c r="Y83" s="165"/>
      <c r="Z83" s="5"/>
      <c r="AA83" s="5"/>
      <c r="AB83" s="71"/>
      <c r="AC83" s="5"/>
      <c r="AD83" s="5"/>
      <c r="AE83" s="5"/>
      <c r="AF83" s="5"/>
      <c r="AG83" s="5"/>
      <c r="AH83" s="5"/>
      <c r="AI83" s="5"/>
      <c r="AJ83" s="166"/>
      <c r="AK83" s="5"/>
    </row>
    <row r="84" spans="1:37" ht="14.25" customHeight="1">
      <c r="A84" s="5">
        <v>77</v>
      </c>
      <c r="B84" s="5" t="s">
        <v>191</v>
      </c>
      <c r="C84" s="5" t="s">
        <v>1014</v>
      </c>
      <c r="D84" s="2">
        <v>46028</v>
      </c>
      <c r="E84" s="5">
        <v>2567</v>
      </c>
      <c r="F84" s="5" t="s">
        <v>1683</v>
      </c>
      <c r="G84" s="5" t="s">
        <v>1040</v>
      </c>
      <c r="H84" s="5" t="s">
        <v>1684</v>
      </c>
      <c r="I84" s="5" t="s">
        <v>306</v>
      </c>
      <c r="J84" s="5">
        <v>2021</v>
      </c>
      <c r="K84" s="5" t="s">
        <v>1685</v>
      </c>
      <c r="L84" s="5" t="s">
        <v>1686</v>
      </c>
      <c r="M84" s="165" t="s">
        <v>1687</v>
      </c>
      <c r="N84" s="5" t="s">
        <v>560</v>
      </c>
      <c r="O84" s="5" t="s">
        <v>1688</v>
      </c>
      <c r="P84" s="5" t="s">
        <v>492</v>
      </c>
      <c r="Q84" s="5" t="s">
        <v>9</v>
      </c>
      <c r="R84" s="165" t="s">
        <v>9</v>
      </c>
      <c r="S84" s="5" t="s">
        <v>9</v>
      </c>
      <c r="T84" s="5" t="s">
        <v>1636</v>
      </c>
      <c r="U84" s="5"/>
      <c r="V84" s="5"/>
      <c r="W84" s="5"/>
      <c r="X84" s="5"/>
      <c r="Y84" s="165"/>
      <c r="Z84" s="5"/>
      <c r="AA84" s="5"/>
      <c r="AB84" s="71"/>
      <c r="AC84" s="5"/>
      <c r="AD84" s="5"/>
      <c r="AE84" s="5"/>
      <c r="AF84" s="5"/>
      <c r="AG84" s="5"/>
      <c r="AH84" s="5"/>
      <c r="AI84" s="5"/>
      <c r="AJ84" s="166"/>
      <c r="AK84" s="5"/>
    </row>
    <row r="85" spans="1:37" ht="14.25" customHeight="1">
      <c r="A85" s="5">
        <v>78</v>
      </c>
      <c r="B85" s="5" t="s">
        <v>191</v>
      </c>
      <c r="C85" s="5" t="s">
        <v>1014</v>
      </c>
      <c r="D85" s="2">
        <v>46031</v>
      </c>
      <c r="E85" s="5">
        <v>2569</v>
      </c>
      <c r="F85" s="5" t="s">
        <v>1689</v>
      </c>
      <c r="G85" s="5" t="s">
        <v>1100</v>
      </c>
      <c r="H85" s="5" t="s">
        <v>1577</v>
      </c>
      <c r="I85" s="5" t="s">
        <v>306</v>
      </c>
      <c r="J85" s="5">
        <v>2023</v>
      </c>
      <c r="K85" s="5" t="s">
        <v>1690</v>
      </c>
      <c r="L85" s="5" t="s">
        <v>1691</v>
      </c>
      <c r="M85" s="165" t="s">
        <v>1692</v>
      </c>
      <c r="N85" s="5" t="s">
        <v>1693</v>
      </c>
      <c r="O85" s="5" t="s">
        <v>1694</v>
      </c>
      <c r="P85" s="5" t="s">
        <v>202</v>
      </c>
      <c r="Q85" s="5" t="s">
        <v>203</v>
      </c>
      <c r="R85" s="165" t="s">
        <v>9</v>
      </c>
      <c r="S85" s="5" t="s">
        <v>9</v>
      </c>
      <c r="T85" s="5" t="s">
        <v>736</v>
      </c>
      <c r="U85" s="5"/>
      <c r="V85" s="5"/>
      <c r="W85" s="5"/>
      <c r="X85" s="5"/>
      <c r="Y85" s="165"/>
      <c r="Z85" s="5"/>
      <c r="AA85" s="5"/>
      <c r="AB85" s="71"/>
      <c r="AC85" s="5"/>
      <c r="AD85" s="5"/>
      <c r="AE85" s="5"/>
      <c r="AF85" s="5"/>
      <c r="AG85" s="5"/>
      <c r="AH85" s="5"/>
      <c r="AI85" s="5"/>
      <c r="AJ85" s="166"/>
      <c r="AK85" s="5"/>
    </row>
    <row r="86" spans="1:37" ht="14.25" customHeight="1">
      <c r="A86" s="173">
        <v>79</v>
      </c>
      <c r="B86" s="173" t="s">
        <v>191</v>
      </c>
      <c r="C86" s="173" t="s">
        <v>1014</v>
      </c>
      <c r="D86" s="174">
        <v>46034</v>
      </c>
      <c r="E86" s="173">
        <v>2575</v>
      </c>
      <c r="F86" s="173" t="s">
        <v>1695</v>
      </c>
      <c r="G86" s="173" t="s">
        <v>1696</v>
      </c>
      <c r="H86" s="173" t="s">
        <v>1697</v>
      </c>
      <c r="I86" s="173" t="s">
        <v>1102</v>
      </c>
      <c r="J86" s="173" t="s">
        <v>9</v>
      </c>
      <c r="K86" s="173" t="s">
        <v>1698</v>
      </c>
      <c r="L86" s="173" t="s">
        <v>9</v>
      </c>
      <c r="M86" s="175" t="s">
        <v>1699</v>
      </c>
      <c r="N86" s="173" t="s">
        <v>912</v>
      </c>
      <c r="O86" s="173" t="s">
        <v>1700</v>
      </c>
      <c r="P86" s="173" t="s">
        <v>202</v>
      </c>
      <c r="Q86" s="173" t="s">
        <v>203</v>
      </c>
      <c r="R86" s="175" t="s">
        <v>9</v>
      </c>
      <c r="S86" s="173" t="s">
        <v>9</v>
      </c>
      <c r="T86" s="173" t="s">
        <v>736</v>
      </c>
      <c r="U86" s="173"/>
      <c r="V86" s="173"/>
      <c r="W86" s="173"/>
      <c r="X86" s="173"/>
      <c r="Y86" s="175"/>
      <c r="Z86" s="173"/>
      <c r="AA86" s="173"/>
      <c r="AB86" s="176"/>
      <c r="AC86" s="173"/>
      <c r="AD86" s="173"/>
      <c r="AE86" s="173"/>
      <c r="AF86" s="173"/>
      <c r="AG86" s="173"/>
      <c r="AH86" s="173"/>
      <c r="AI86" s="173"/>
      <c r="AJ86" s="177"/>
      <c r="AK86" s="173"/>
    </row>
    <row r="87" spans="1:37" ht="14.25" customHeight="1">
      <c r="A87" s="159">
        <v>80</v>
      </c>
      <c r="B87" s="159" t="s">
        <v>191</v>
      </c>
      <c r="C87" s="159" t="s">
        <v>1014</v>
      </c>
      <c r="D87" s="160">
        <v>46038</v>
      </c>
      <c r="E87" s="159">
        <v>2576</v>
      </c>
      <c r="F87" s="159" t="s">
        <v>1701</v>
      </c>
      <c r="G87" s="159" t="s">
        <v>1051</v>
      </c>
      <c r="H87" s="159" t="s">
        <v>1702</v>
      </c>
      <c r="I87" s="159" t="s">
        <v>478</v>
      </c>
      <c r="J87" s="159">
        <v>2017</v>
      </c>
      <c r="K87" s="159" t="s">
        <v>1703</v>
      </c>
      <c r="L87" s="159" t="s">
        <v>1704</v>
      </c>
      <c r="M87" s="161" t="s">
        <v>242</v>
      </c>
      <c r="N87" s="159" t="s">
        <v>999</v>
      </c>
      <c r="O87" s="159" t="s">
        <v>1705</v>
      </c>
      <c r="P87" s="159" t="s">
        <v>202</v>
      </c>
      <c r="Q87" s="159" t="s">
        <v>203</v>
      </c>
      <c r="R87" s="161" t="s">
        <v>9</v>
      </c>
      <c r="S87" s="161" t="s">
        <v>9</v>
      </c>
      <c r="T87" s="159" t="s">
        <v>1636</v>
      </c>
      <c r="U87" s="160">
        <v>46098</v>
      </c>
      <c r="V87" s="159" t="s">
        <v>1706</v>
      </c>
      <c r="W87" s="159" t="s">
        <v>350</v>
      </c>
      <c r="X87" s="159" t="s">
        <v>1707</v>
      </c>
      <c r="Y87" s="161" t="s">
        <v>1708</v>
      </c>
      <c r="Z87" s="159">
        <v>96595922</v>
      </c>
      <c r="AA87" s="159">
        <v>61</v>
      </c>
      <c r="AB87" s="162">
        <v>61</v>
      </c>
      <c r="AC87" s="159">
        <v>2576</v>
      </c>
      <c r="AD87" s="159" t="s">
        <v>736</v>
      </c>
      <c r="AE87" s="159" t="s">
        <v>9</v>
      </c>
      <c r="AF87" s="159" t="s">
        <v>9</v>
      </c>
      <c r="AG87" s="159" t="s">
        <v>1301</v>
      </c>
      <c r="AH87" s="159" t="s">
        <v>1709</v>
      </c>
      <c r="AI87" s="160">
        <v>46098</v>
      </c>
      <c r="AJ87" s="163" t="s">
        <v>1710</v>
      </c>
      <c r="AK87" s="159" t="s">
        <v>233</v>
      </c>
    </row>
    <row r="88" spans="1:37" ht="14.25" customHeight="1">
      <c r="A88" s="159">
        <v>81</v>
      </c>
      <c r="B88" s="159" t="s">
        <v>191</v>
      </c>
      <c r="C88" s="159" t="s">
        <v>1014</v>
      </c>
      <c r="D88" s="160">
        <v>46041</v>
      </c>
      <c r="E88" s="159">
        <v>2577</v>
      </c>
      <c r="F88" s="159" t="s">
        <v>1711</v>
      </c>
      <c r="G88" s="159" t="s">
        <v>1712</v>
      </c>
      <c r="H88" s="159" t="s">
        <v>1713</v>
      </c>
      <c r="I88" s="159" t="s">
        <v>306</v>
      </c>
      <c r="J88" s="159">
        <v>2026</v>
      </c>
      <c r="K88" s="159" t="s">
        <v>1714</v>
      </c>
      <c r="L88" s="159" t="s">
        <v>1715</v>
      </c>
      <c r="M88" s="161" t="s">
        <v>1716</v>
      </c>
      <c r="N88" s="159" t="s">
        <v>1086</v>
      </c>
      <c r="O88" s="159" t="s">
        <v>1717</v>
      </c>
      <c r="P88" s="159" t="s">
        <v>202</v>
      </c>
      <c r="Q88" s="159" t="s">
        <v>203</v>
      </c>
      <c r="R88" s="161" t="s">
        <v>9</v>
      </c>
      <c r="S88" s="161" t="s">
        <v>9</v>
      </c>
      <c r="T88" s="159" t="s">
        <v>1636</v>
      </c>
      <c r="U88" s="160">
        <v>46058</v>
      </c>
      <c r="V88" s="159" t="s">
        <v>1718</v>
      </c>
      <c r="W88" s="159" t="s">
        <v>215</v>
      </c>
      <c r="X88" s="159" t="s">
        <v>1719</v>
      </c>
      <c r="Y88" s="161" t="s">
        <v>1720</v>
      </c>
      <c r="Z88" s="159">
        <v>96295642</v>
      </c>
      <c r="AA88" s="159">
        <v>18</v>
      </c>
      <c r="AB88" s="162">
        <v>18</v>
      </c>
      <c r="AC88" s="159">
        <v>2577</v>
      </c>
      <c r="AD88" s="159" t="s">
        <v>736</v>
      </c>
      <c r="AE88" s="159" t="s">
        <v>9</v>
      </c>
      <c r="AF88" s="159" t="s">
        <v>9</v>
      </c>
      <c r="AG88" s="159" t="s">
        <v>1301</v>
      </c>
      <c r="AH88" s="159" t="s">
        <v>440</v>
      </c>
      <c r="AI88" s="160">
        <v>46058</v>
      </c>
      <c r="AJ88" s="163" t="s">
        <v>1721</v>
      </c>
      <c r="AK88" s="159" t="s">
        <v>668</v>
      </c>
    </row>
    <row r="89" spans="1:37" ht="14.25" customHeight="1">
      <c r="A89" s="159">
        <v>82</v>
      </c>
      <c r="B89" s="159" t="s">
        <v>191</v>
      </c>
      <c r="C89" s="159" t="s">
        <v>1014</v>
      </c>
      <c r="D89" s="160">
        <v>46048</v>
      </c>
      <c r="E89" s="159">
        <v>2585</v>
      </c>
      <c r="F89" s="159" t="s">
        <v>1722</v>
      </c>
      <c r="G89" s="159" t="s">
        <v>194</v>
      </c>
      <c r="H89" s="159" t="s">
        <v>1723</v>
      </c>
      <c r="I89" s="159" t="s">
        <v>196</v>
      </c>
      <c r="J89" s="159">
        <v>2025</v>
      </c>
      <c r="K89" s="159" t="s">
        <v>1724</v>
      </c>
      <c r="L89" s="159" t="s">
        <v>1725</v>
      </c>
      <c r="M89" s="161" t="s">
        <v>1726</v>
      </c>
      <c r="N89" s="159" t="s">
        <v>402</v>
      </c>
      <c r="O89" s="159" t="s">
        <v>1727</v>
      </c>
      <c r="P89" s="159" t="s">
        <v>202</v>
      </c>
      <c r="Q89" s="159" t="s">
        <v>203</v>
      </c>
      <c r="R89" s="161" t="s">
        <v>9</v>
      </c>
      <c r="S89" s="159" t="s">
        <v>9</v>
      </c>
      <c r="T89" s="159" t="s">
        <v>1728</v>
      </c>
      <c r="U89" s="160">
        <v>46053</v>
      </c>
      <c r="V89" s="159" t="s">
        <v>1729</v>
      </c>
      <c r="W89" s="159" t="s">
        <v>267</v>
      </c>
      <c r="X89" s="159" t="s">
        <v>1730</v>
      </c>
      <c r="Y89" s="161" t="s">
        <v>1731</v>
      </c>
      <c r="Z89" s="159">
        <v>96275211</v>
      </c>
      <c r="AA89" s="159">
        <v>6</v>
      </c>
      <c r="AB89" s="162">
        <v>6</v>
      </c>
      <c r="AC89" s="159">
        <v>2585</v>
      </c>
      <c r="AD89" s="159" t="s">
        <v>941</v>
      </c>
      <c r="AE89" s="159" t="s">
        <v>9</v>
      </c>
      <c r="AF89" s="159" t="s">
        <v>9</v>
      </c>
      <c r="AG89" s="159" t="s">
        <v>1301</v>
      </c>
      <c r="AH89" s="159" t="s">
        <v>440</v>
      </c>
      <c r="AI89" s="160">
        <v>46053</v>
      </c>
      <c r="AJ89" s="163" t="s">
        <v>1732</v>
      </c>
      <c r="AK89" s="159" t="s">
        <v>948</v>
      </c>
    </row>
    <row r="90" spans="1:37" ht="14.25" customHeight="1">
      <c r="A90" s="5">
        <v>82</v>
      </c>
      <c r="B90" s="5" t="s">
        <v>191</v>
      </c>
      <c r="C90" s="5" t="s">
        <v>1014</v>
      </c>
      <c r="D90" s="2">
        <v>46050</v>
      </c>
      <c r="E90" s="5">
        <v>2588</v>
      </c>
      <c r="F90" s="5" t="s">
        <v>1733</v>
      </c>
      <c r="G90" s="5" t="s">
        <v>1071</v>
      </c>
      <c r="H90" s="5" t="s">
        <v>1734</v>
      </c>
      <c r="I90" s="5" t="s">
        <v>306</v>
      </c>
      <c r="J90" s="5">
        <v>2020</v>
      </c>
      <c r="K90" s="5" t="s">
        <v>1735</v>
      </c>
      <c r="L90" s="5" t="s">
        <v>1736</v>
      </c>
      <c r="M90" s="165" t="s">
        <v>1737</v>
      </c>
      <c r="N90" s="5" t="s">
        <v>212</v>
      </c>
      <c r="O90" s="5" t="s">
        <v>1738</v>
      </c>
      <c r="P90" s="5" t="s">
        <v>492</v>
      </c>
      <c r="Q90" s="5" t="s">
        <v>203</v>
      </c>
      <c r="R90" s="165" t="s">
        <v>9</v>
      </c>
      <c r="S90" s="5" t="s">
        <v>9</v>
      </c>
      <c r="T90" s="5" t="s">
        <v>736</v>
      </c>
      <c r="U90" s="5"/>
      <c r="V90" s="5"/>
      <c r="W90" s="5"/>
      <c r="X90" s="5"/>
      <c r="Y90" s="165"/>
      <c r="Z90" s="5"/>
      <c r="AA90" s="5"/>
      <c r="AB90" s="71"/>
      <c r="AC90" s="5"/>
      <c r="AD90" s="5"/>
      <c r="AE90" s="5"/>
      <c r="AF90" s="5"/>
      <c r="AG90" s="5"/>
      <c r="AH90" s="5"/>
      <c r="AI90" s="5"/>
      <c r="AJ90" s="166"/>
      <c r="AK90" s="5"/>
    </row>
    <row r="91" spans="1:37" ht="14.25" customHeight="1">
      <c r="A91" s="159">
        <v>83</v>
      </c>
      <c r="B91" s="159" t="s">
        <v>191</v>
      </c>
      <c r="C91" s="159" t="s">
        <v>1014</v>
      </c>
      <c r="D91" s="160">
        <v>46051</v>
      </c>
      <c r="E91" s="159">
        <v>2591</v>
      </c>
      <c r="F91" s="159" t="s">
        <v>1739</v>
      </c>
      <c r="G91" s="159" t="s">
        <v>1016</v>
      </c>
      <c r="H91" s="159" t="s">
        <v>1740</v>
      </c>
      <c r="I91" s="159" t="s">
        <v>306</v>
      </c>
      <c r="J91" s="159">
        <v>2020</v>
      </c>
      <c r="K91" s="159" t="s">
        <v>1741</v>
      </c>
      <c r="L91" s="159" t="s">
        <v>1742</v>
      </c>
      <c r="M91" s="161" t="s">
        <v>1743</v>
      </c>
      <c r="N91" s="159" t="s">
        <v>402</v>
      </c>
      <c r="O91" s="159" t="s">
        <v>1744</v>
      </c>
      <c r="P91" s="159" t="s">
        <v>202</v>
      </c>
      <c r="Q91" s="159" t="s">
        <v>203</v>
      </c>
      <c r="R91" s="161" t="s">
        <v>9</v>
      </c>
      <c r="S91" s="159" t="s">
        <v>9</v>
      </c>
      <c r="T91" s="159" t="s">
        <v>736</v>
      </c>
      <c r="U91" s="160">
        <v>46078</v>
      </c>
      <c r="V91" s="159" t="s">
        <v>1745</v>
      </c>
      <c r="W91" s="159" t="s">
        <v>215</v>
      </c>
      <c r="X91" s="159" t="s">
        <v>1746</v>
      </c>
      <c r="Y91" s="161" t="s">
        <v>1747</v>
      </c>
      <c r="Z91" s="159">
        <v>96382590</v>
      </c>
      <c r="AA91" s="159">
        <v>28</v>
      </c>
      <c r="AB91" s="162">
        <v>28</v>
      </c>
      <c r="AC91" s="159">
        <v>2591</v>
      </c>
      <c r="AD91" s="159" t="s">
        <v>736</v>
      </c>
      <c r="AE91" s="159" t="s">
        <v>9</v>
      </c>
      <c r="AF91" s="159" t="s">
        <v>9</v>
      </c>
      <c r="AG91" s="159" t="s">
        <v>1301</v>
      </c>
      <c r="AH91" s="159" t="s">
        <v>522</v>
      </c>
      <c r="AI91" s="160">
        <v>46078</v>
      </c>
      <c r="AJ91" s="163" t="s">
        <v>1748</v>
      </c>
      <c r="AK91" s="159" t="s">
        <v>248</v>
      </c>
    </row>
    <row r="92" spans="1:37" ht="14.25" customHeight="1">
      <c r="A92" s="5">
        <v>84</v>
      </c>
      <c r="B92" s="5" t="s">
        <v>191</v>
      </c>
      <c r="C92" s="5" t="s">
        <v>1014</v>
      </c>
      <c r="D92" s="2">
        <v>46054</v>
      </c>
      <c r="E92" s="5">
        <v>2592</v>
      </c>
      <c r="F92" s="5" t="s">
        <v>1749</v>
      </c>
      <c r="G92" s="5" t="s">
        <v>1198</v>
      </c>
      <c r="H92" s="5" t="s">
        <v>1750</v>
      </c>
      <c r="I92" s="5" t="s">
        <v>306</v>
      </c>
      <c r="J92" s="5">
        <v>2016</v>
      </c>
      <c r="K92" s="5" t="s">
        <v>1751</v>
      </c>
      <c r="L92" s="5" t="s">
        <v>1752</v>
      </c>
      <c r="M92" s="165" t="s">
        <v>1753</v>
      </c>
      <c r="N92" s="5" t="s">
        <v>1754</v>
      </c>
      <c r="O92" s="5" t="s">
        <v>1755</v>
      </c>
      <c r="P92" s="5" t="s">
        <v>202</v>
      </c>
      <c r="Q92" s="5" t="s">
        <v>203</v>
      </c>
      <c r="R92" s="165" t="s">
        <v>9</v>
      </c>
      <c r="S92" s="165" t="s">
        <v>9</v>
      </c>
      <c r="T92" s="5" t="s">
        <v>1636</v>
      </c>
      <c r="U92" s="5"/>
      <c r="V92" s="5"/>
      <c r="W92" s="5"/>
      <c r="X92" s="5"/>
      <c r="Y92" s="165"/>
      <c r="Z92" s="5"/>
      <c r="AA92" s="5"/>
      <c r="AB92" s="71"/>
      <c r="AC92" s="5"/>
      <c r="AD92" s="5"/>
      <c r="AE92" s="5"/>
      <c r="AF92" s="5"/>
      <c r="AG92" s="5"/>
      <c r="AH92" s="5"/>
      <c r="AI92" s="5"/>
      <c r="AJ92" s="166"/>
      <c r="AK92" s="5"/>
    </row>
    <row r="93" spans="1:37" ht="14.25" customHeight="1">
      <c r="A93" s="5">
        <v>85</v>
      </c>
      <c r="B93" s="5" t="s">
        <v>191</v>
      </c>
      <c r="C93" s="5" t="s">
        <v>1014</v>
      </c>
      <c r="D93" s="2">
        <v>46059</v>
      </c>
      <c r="E93" s="5">
        <v>2597</v>
      </c>
      <c r="F93" s="5" t="s">
        <v>1756</v>
      </c>
      <c r="G93" s="5" t="s">
        <v>1126</v>
      </c>
      <c r="H93" s="5" t="s">
        <v>1757</v>
      </c>
      <c r="I93" s="5" t="s">
        <v>306</v>
      </c>
      <c r="J93" s="5">
        <v>2019</v>
      </c>
      <c r="K93" s="5" t="s">
        <v>1758</v>
      </c>
      <c r="L93" s="5" t="s">
        <v>1759</v>
      </c>
      <c r="M93" s="165" t="s">
        <v>1760</v>
      </c>
      <c r="N93" s="5" t="s">
        <v>560</v>
      </c>
      <c r="O93" s="5" t="s">
        <v>1761</v>
      </c>
      <c r="P93" s="5" t="s">
        <v>1262</v>
      </c>
      <c r="Q93" s="5" t="s">
        <v>203</v>
      </c>
      <c r="R93" s="165" t="s">
        <v>9</v>
      </c>
      <c r="S93" s="5" t="s">
        <v>9</v>
      </c>
      <c r="T93" s="5" t="s">
        <v>1728</v>
      </c>
      <c r="U93" s="5"/>
      <c r="V93" s="5"/>
      <c r="W93" s="5"/>
      <c r="X93" s="5"/>
      <c r="Y93" s="165"/>
      <c r="Z93" s="5"/>
      <c r="AA93" s="5"/>
      <c r="AB93" s="71"/>
      <c r="AC93" s="5"/>
      <c r="AD93" s="5"/>
      <c r="AE93" s="5"/>
      <c r="AF93" s="5"/>
      <c r="AG93" s="5"/>
      <c r="AH93" s="5"/>
      <c r="AI93" s="5"/>
      <c r="AJ93" s="166"/>
      <c r="AK93" s="5"/>
    </row>
    <row r="94" spans="1:37" ht="14.25" customHeight="1">
      <c r="A94" s="159">
        <v>86</v>
      </c>
      <c r="B94" s="159" t="s">
        <v>191</v>
      </c>
      <c r="C94" s="159" t="s">
        <v>1014</v>
      </c>
      <c r="D94" s="160">
        <v>46060</v>
      </c>
      <c r="E94" s="159">
        <v>2601</v>
      </c>
      <c r="F94" s="159" t="s">
        <v>1762</v>
      </c>
      <c r="G94" s="159" t="s">
        <v>1213</v>
      </c>
      <c r="H94" s="159" t="s">
        <v>1337</v>
      </c>
      <c r="I94" s="159" t="s">
        <v>306</v>
      </c>
      <c r="J94" s="159">
        <v>2022</v>
      </c>
      <c r="K94" s="159" t="s">
        <v>1763</v>
      </c>
      <c r="L94" s="159" t="s">
        <v>1764</v>
      </c>
      <c r="M94" s="161" t="s">
        <v>1765</v>
      </c>
      <c r="N94" s="159" t="s">
        <v>1766</v>
      </c>
      <c r="O94" s="159" t="s">
        <v>1767</v>
      </c>
      <c r="P94" s="159" t="s">
        <v>202</v>
      </c>
      <c r="Q94" s="159" t="s">
        <v>203</v>
      </c>
      <c r="R94" s="161" t="s">
        <v>9</v>
      </c>
      <c r="S94" s="159" t="s">
        <v>9</v>
      </c>
      <c r="T94" s="159" t="s">
        <v>736</v>
      </c>
      <c r="U94" s="160">
        <v>46060</v>
      </c>
      <c r="V94" s="159" t="s">
        <v>1768</v>
      </c>
      <c r="W94" s="159" t="s">
        <v>215</v>
      </c>
      <c r="X94" s="159" t="s">
        <v>1769</v>
      </c>
      <c r="Y94" s="161" t="s">
        <v>1770</v>
      </c>
      <c r="Z94" s="159">
        <v>96376286</v>
      </c>
      <c r="AA94" s="159">
        <v>18</v>
      </c>
      <c r="AB94" s="162">
        <v>18</v>
      </c>
      <c r="AC94" s="159">
        <v>2601</v>
      </c>
      <c r="AD94" s="159" t="s">
        <v>941</v>
      </c>
      <c r="AE94" s="159" t="s">
        <v>9</v>
      </c>
      <c r="AF94" s="159" t="s">
        <v>9</v>
      </c>
      <c r="AG94" s="159" t="s">
        <v>1771</v>
      </c>
      <c r="AH94" s="159" t="s">
        <v>1772</v>
      </c>
      <c r="AI94" s="160">
        <v>46077</v>
      </c>
      <c r="AJ94" s="163" t="s">
        <v>1773</v>
      </c>
      <c r="AK94" s="159" t="s">
        <v>248</v>
      </c>
    </row>
    <row r="95" spans="1:37" ht="14.25" customHeight="1">
      <c r="A95" s="5">
        <v>87</v>
      </c>
      <c r="B95" s="5" t="s">
        <v>191</v>
      </c>
      <c r="C95" s="5" t="s">
        <v>1014</v>
      </c>
      <c r="D95" s="2">
        <v>46068</v>
      </c>
      <c r="E95" s="5">
        <v>2606</v>
      </c>
      <c r="F95" s="5" t="s">
        <v>1774</v>
      </c>
      <c r="G95" s="5" t="s">
        <v>1175</v>
      </c>
      <c r="H95" s="5" t="s">
        <v>1775</v>
      </c>
      <c r="I95" s="5" t="s">
        <v>306</v>
      </c>
      <c r="J95" s="5">
        <v>2021</v>
      </c>
      <c r="K95" s="5" t="s">
        <v>1776</v>
      </c>
      <c r="L95" s="5" t="s">
        <v>1777</v>
      </c>
      <c r="M95" s="165" t="s">
        <v>1778</v>
      </c>
      <c r="N95" s="5" t="s">
        <v>1779</v>
      </c>
      <c r="O95" s="5" t="s">
        <v>1780</v>
      </c>
      <c r="P95" s="5" t="s">
        <v>202</v>
      </c>
      <c r="Q95" s="5" t="s">
        <v>203</v>
      </c>
      <c r="R95" s="165" t="s">
        <v>9</v>
      </c>
      <c r="S95" s="165" t="s">
        <v>9</v>
      </c>
      <c r="T95" s="5" t="s">
        <v>1636</v>
      </c>
      <c r="U95" s="5"/>
      <c r="V95" s="5"/>
      <c r="W95" s="5"/>
      <c r="X95" s="5"/>
      <c r="Y95" s="165"/>
      <c r="Z95" s="5"/>
      <c r="AA95" s="5"/>
      <c r="AB95" s="71"/>
      <c r="AC95" s="5"/>
      <c r="AD95" s="5"/>
      <c r="AE95" s="5"/>
      <c r="AF95" s="5"/>
      <c r="AG95" s="5"/>
      <c r="AH95" s="5"/>
      <c r="AI95" s="5"/>
      <c r="AJ95" s="166"/>
      <c r="AK95" s="5"/>
    </row>
    <row r="96" spans="1:37" ht="14.25" customHeight="1">
      <c r="A96" s="5">
        <v>87</v>
      </c>
      <c r="B96" s="5" t="s">
        <v>191</v>
      </c>
      <c r="C96" s="5" t="s">
        <v>1014</v>
      </c>
      <c r="D96" s="2">
        <v>46077</v>
      </c>
      <c r="E96" s="5">
        <v>2613</v>
      </c>
      <c r="F96" s="171" t="s">
        <v>1695</v>
      </c>
      <c r="G96" s="5" t="s">
        <v>1163</v>
      </c>
      <c r="H96" s="5" t="s">
        <v>1781</v>
      </c>
      <c r="I96" s="5" t="s">
        <v>1782</v>
      </c>
      <c r="J96" s="5" t="s">
        <v>1781</v>
      </c>
      <c r="K96" s="5" t="s">
        <v>1783</v>
      </c>
      <c r="L96" s="5" t="s">
        <v>1784</v>
      </c>
      <c r="M96" s="165" t="s">
        <v>1785</v>
      </c>
      <c r="N96" s="5" t="s">
        <v>1786</v>
      </c>
      <c r="O96" s="5" t="s">
        <v>1781</v>
      </c>
      <c r="P96" s="5" t="s">
        <v>492</v>
      </c>
      <c r="Q96" s="5" t="s">
        <v>9</v>
      </c>
      <c r="R96" s="165" t="s">
        <v>9</v>
      </c>
      <c r="S96" s="5" t="s">
        <v>9</v>
      </c>
      <c r="T96" s="5" t="s">
        <v>1636</v>
      </c>
      <c r="U96" s="5"/>
      <c r="V96" s="5"/>
      <c r="W96" s="5"/>
      <c r="X96" s="5"/>
      <c r="Y96" s="165"/>
      <c r="Z96" s="5"/>
      <c r="AA96" s="5"/>
      <c r="AB96" s="71"/>
      <c r="AC96" s="5"/>
      <c r="AD96" s="5"/>
      <c r="AE96" s="5"/>
      <c r="AF96" s="5"/>
      <c r="AG96" s="5"/>
      <c r="AH96" s="5"/>
      <c r="AI96" s="5"/>
      <c r="AJ96" s="166"/>
      <c r="AK96" s="5"/>
    </row>
    <row r="97" spans="1:37" ht="14.25" customHeight="1">
      <c r="A97" s="5">
        <v>88</v>
      </c>
      <c r="B97" s="5" t="s">
        <v>191</v>
      </c>
      <c r="C97" s="5" t="s">
        <v>1014</v>
      </c>
      <c r="D97" s="2">
        <v>46078</v>
      </c>
      <c r="E97" s="5">
        <v>2614</v>
      </c>
      <c r="F97" s="5" t="s">
        <v>1787</v>
      </c>
      <c r="G97" s="5" t="s">
        <v>1071</v>
      </c>
      <c r="H97" s="5" t="s">
        <v>1788</v>
      </c>
      <c r="I97" s="5" t="s">
        <v>478</v>
      </c>
      <c r="J97" s="5">
        <v>2010</v>
      </c>
      <c r="K97" s="5" t="s">
        <v>1789</v>
      </c>
      <c r="L97" s="5" t="s">
        <v>1790</v>
      </c>
      <c r="M97" s="165" t="s">
        <v>1791</v>
      </c>
      <c r="N97" s="5" t="s">
        <v>1236</v>
      </c>
      <c r="O97" s="5" t="s">
        <v>1792</v>
      </c>
      <c r="P97" s="5" t="s">
        <v>202</v>
      </c>
      <c r="Q97" s="5" t="s">
        <v>203</v>
      </c>
      <c r="R97" s="165" t="s">
        <v>9</v>
      </c>
      <c r="S97" s="5" t="s">
        <v>9</v>
      </c>
      <c r="T97" s="5" t="s">
        <v>736</v>
      </c>
      <c r="U97" s="5"/>
      <c r="V97" s="5"/>
      <c r="W97" s="5"/>
      <c r="X97" s="5"/>
      <c r="Y97" s="165"/>
      <c r="Z97" s="5"/>
      <c r="AA97" s="5"/>
      <c r="AB97" s="71"/>
      <c r="AC97" s="5"/>
      <c r="AD97" s="5"/>
      <c r="AE97" s="5"/>
      <c r="AF97" s="5"/>
      <c r="AG97" s="5"/>
      <c r="AH97" s="5"/>
      <c r="AI97" s="5"/>
      <c r="AJ97" s="166"/>
      <c r="AK97" s="5"/>
    </row>
    <row r="98" spans="1:37" ht="14.25" customHeight="1">
      <c r="A98" s="5">
        <v>89</v>
      </c>
      <c r="B98" s="5" t="s">
        <v>191</v>
      </c>
      <c r="C98" s="5" t="s">
        <v>1014</v>
      </c>
      <c r="D98" s="2">
        <v>46079</v>
      </c>
      <c r="E98" s="5">
        <v>2616</v>
      </c>
      <c r="F98" s="5" t="s">
        <v>1793</v>
      </c>
      <c r="G98" s="5" t="s">
        <v>1284</v>
      </c>
      <c r="H98" s="5" t="s">
        <v>1794</v>
      </c>
      <c r="I98" s="5" t="s">
        <v>196</v>
      </c>
      <c r="J98" s="5">
        <v>2016</v>
      </c>
      <c r="K98" s="5" t="s">
        <v>1795</v>
      </c>
      <c r="L98" s="5" t="s">
        <v>1796</v>
      </c>
      <c r="M98" s="165" t="s">
        <v>1797</v>
      </c>
      <c r="N98" s="5" t="s">
        <v>1798</v>
      </c>
      <c r="O98" s="5" t="s">
        <v>1799</v>
      </c>
      <c r="P98" s="5" t="s">
        <v>202</v>
      </c>
      <c r="Q98" s="5" t="s">
        <v>203</v>
      </c>
      <c r="R98" s="165" t="s">
        <v>9</v>
      </c>
      <c r="S98" s="5" t="s">
        <v>9</v>
      </c>
      <c r="T98" s="5" t="s">
        <v>1728</v>
      </c>
      <c r="U98" s="5"/>
      <c r="V98" s="5"/>
      <c r="W98" s="5"/>
      <c r="X98" s="5"/>
      <c r="Y98" s="165"/>
      <c r="Z98" s="5"/>
      <c r="AA98" s="5"/>
      <c r="AB98" s="71"/>
      <c r="AC98" s="5"/>
      <c r="AD98" s="5"/>
      <c r="AE98" s="5"/>
      <c r="AF98" s="5"/>
      <c r="AG98" s="5"/>
      <c r="AH98" s="5"/>
      <c r="AI98" s="5"/>
      <c r="AJ98" s="166"/>
      <c r="AK98" s="5"/>
    </row>
    <row r="99" spans="1:37" ht="15" customHeight="1">
      <c r="A99" s="5">
        <v>90</v>
      </c>
      <c r="B99" s="5" t="s">
        <v>191</v>
      </c>
      <c r="C99" s="5" t="s">
        <v>1014</v>
      </c>
      <c r="D99" s="2">
        <v>46086</v>
      </c>
      <c r="E99" s="5">
        <v>2621</v>
      </c>
      <c r="F99" s="5" t="s">
        <v>1800</v>
      </c>
      <c r="G99" s="5" t="s">
        <v>1801</v>
      </c>
      <c r="H99" s="4" t="s">
        <v>1802</v>
      </c>
      <c r="I99" s="5" t="s">
        <v>478</v>
      </c>
      <c r="J99" s="5">
        <v>2018</v>
      </c>
      <c r="K99" s="5" t="s">
        <v>1803</v>
      </c>
      <c r="L99" s="178" t="s">
        <v>1804</v>
      </c>
      <c r="M99" s="165" t="s">
        <v>1805</v>
      </c>
      <c r="N99" s="5" t="s">
        <v>1806</v>
      </c>
      <c r="O99" s="5" t="s">
        <v>1807</v>
      </c>
      <c r="P99" s="5" t="s">
        <v>202</v>
      </c>
      <c r="Q99" s="5" t="s">
        <v>203</v>
      </c>
      <c r="R99" s="165" t="s">
        <v>9</v>
      </c>
      <c r="S99" s="5" t="s">
        <v>9</v>
      </c>
      <c r="T99" s="5" t="s">
        <v>1636</v>
      </c>
      <c r="U99" s="5"/>
      <c r="V99" s="5"/>
      <c r="W99" s="5"/>
      <c r="X99" s="5"/>
      <c r="Y99" s="165"/>
      <c r="Z99" s="5"/>
      <c r="AA99" s="5"/>
      <c r="AB99" s="71"/>
      <c r="AC99" s="5"/>
      <c r="AD99" s="5"/>
      <c r="AE99" s="5"/>
      <c r="AF99" s="5"/>
      <c r="AG99" s="5"/>
      <c r="AH99" s="5"/>
      <c r="AI99" s="5"/>
      <c r="AJ99" s="166"/>
      <c r="AK99" s="5"/>
    </row>
    <row r="100" spans="1:37" ht="14.25" customHeight="1">
      <c r="A100" s="159">
        <v>91</v>
      </c>
      <c r="B100" s="159" t="s">
        <v>191</v>
      </c>
      <c r="C100" s="159" t="s">
        <v>1014</v>
      </c>
      <c r="D100" s="160">
        <v>46087</v>
      </c>
      <c r="E100" s="159">
        <v>2622</v>
      </c>
      <c r="F100" s="159" t="s">
        <v>1808</v>
      </c>
      <c r="G100" s="159" t="s">
        <v>1249</v>
      </c>
      <c r="H100" s="159" t="s">
        <v>1415</v>
      </c>
      <c r="I100" s="159" t="s">
        <v>306</v>
      </c>
      <c r="J100" s="159">
        <v>2025</v>
      </c>
      <c r="K100" s="159" t="s">
        <v>1809</v>
      </c>
      <c r="L100" s="159" t="s">
        <v>1810</v>
      </c>
      <c r="M100" s="161" t="s">
        <v>1811</v>
      </c>
      <c r="N100" s="159" t="s">
        <v>527</v>
      </c>
      <c r="O100" s="159" t="s">
        <v>1812</v>
      </c>
      <c r="P100" s="159" t="s">
        <v>202</v>
      </c>
      <c r="Q100" s="159" t="s">
        <v>203</v>
      </c>
      <c r="R100" s="161" t="s">
        <v>9</v>
      </c>
      <c r="S100" s="159" t="s">
        <v>9</v>
      </c>
      <c r="T100" s="159" t="s">
        <v>736</v>
      </c>
      <c r="U100" s="160">
        <v>46113</v>
      </c>
      <c r="V100" s="159" t="s">
        <v>1813</v>
      </c>
      <c r="W100" s="159" t="s">
        <v>350</v>
      </c>
      <c r="X100" s="159" t="s">
        <v>1814</v>
      </c>
      <c r="Y100" s="161">
        <v>1314109784</v>
      </c>
      <c r="Z100" s="159" t="s">
        <v>1815</v>
      </c>
      <c r="AA100" s="159">
        <v>27</v>
      </c>
      <c r="AB100" s="162" t="s">
        <v>1816</v>
      </c>
      <c r="AC100" s="159">
        <v>2622</v>
      </c>
      <c r="AD100" s="159" t="s">
        <v>941</v>
      </c>
      <c r="AE100" s="159" t="s">
        <v>9</v>
      </c>
      <c r="AF100" s="159" t="s">
        <v>9</v>
      </c>
      <c r="AG100" s="159" t="s">
        <v>1301</v>
      </c>
      <c r="AH100" s="159" t="s">
        <v>1772</v>
      </c>
      <c r="AI100" s="160">
        <v>46082</v>
      </c>
      <c r="AJ100" s="163" t="s">
        <v>1817</v>
      </c>
      <c r="AK100" s="159" t="s">
        <v>902</v>
      </c>
    </row>
    <row r="101" spans="1:37" ht="14.25" customHeight="1">
      <c r="A101" s="5">
        <v>92</v>
      </c>
      <c r="B101" s="5" t="s">
        <v>191</v>
      </c>
      <c r="C101" s="5" t="s">
        <v>1014</v>
      </c>
      <c r="D101" s="2">
        <v>46091</v>
      </c>
      <c r="E101" s="5">
        <v>2628</v>
      </c>
      <c r="F101" s="5" t="s">
        <v>1818</v>
      </c>
      <c r="G101" s="5" t="s">
        <v>1819</v>
      </c>
      <c r="H101" s="5" t="s">
        <v>1820</v>
      </c>
      <c r="I101" s="5" t="s">
        <v>306</v>
      </c>
      <c r="J101" s="5">
        <v>2023</v>
      </c>
      <c r="K101" s="5" t="s">
        <v>1821</v>
      </c>
      <c r="L101" s="5" t="s">
        <v>1822</v>
      </c>
      <c r="M101" s="165" t="s">
        <v>1823</v>
      </c>
      <c r="N101" s="5" t="s">
        <v>1754</v>
      </c>
      <c r="O101" s="5" t="s">
        <v>1824</v>
      </c>
      <c r="P101" s="5" t="s">
        <v>202</v>
      </c>
      <c r="Q101" s="5" t="s">
        <v>203</v>
      </c>
      <c r="R101" s="165" t="s">
        <v>9</v>
      </c>
      <c r="S101" s="5" t="s">
        <v>9</v>
      </c>
      <c r="T101" s="5" t="s">
        <v>736</v>
      </c>
      <c r="U101" s="5"/>
      <c r="V101" s="5"/>
      <c r="W101" s="5"/>
      <c r="X101" s="5"/>
      <c r="Y101" s="165"/>
      <c r="Z101" s="5"/>
      <c r="AA101" s="5"/>
      <c r="AB101" s="71"/>
      <c r="AC101" s="5"/>
      <c r="AD101" s="5"/>
      <c r="AE101" s="5"/>
      <c r="AF101" s="5"/>
      <c r="AG101" s="5"/>
      <c r="AH101" s="5"/>
      <c r="AI101" s="5"/>
      <c r="AJ101" s="166"/>
      <c r="AK101" s="5"/>
    </row>
    <row r="102" spans="1:37" ht="14.25" customHeight="1">
      <c r="A102" s="5">
        <v>93</v>
      </c>
      <c r="B102" s="5" t="s">
        <v>191</v>
      </c>
      <c r="C102" s="5" t="s">
        <v>1014</v>
      </c>
      <c r="D102" s="2">
        <v>46097</v>
      </c>
      <c r="E102" s="5">
        <v>2030</v>
      </c>
      <c r="F102" s="5" t="s">
        <v>1825</v>
      </c>
      <c r="G102" s="5" t="s">
        <v>1016</v>
      </c>
      <c r="H102" s="5" t="s">
        <v>1826</v>
      </c>
      <c r="I102" s="5" t="s">
        <v>306</v>
      </c>
      <c r="J102" s="5">
        <v>2018</v>
      </c>
      <c r="K102" s="5" t="s">
        <v>1827</v>
      </c>
      <c r="L102" s="5" t="s">
        <v>1828</v>
      </c>
      <c r="M102" s="165" t="s">
        <v>1829</v>
      </c>
      <c r="N102" s="5" t="s">
        <v>912</v>
      </c>
      <c r="O102" s="5" t="s">
        <v>1830</v>
      </c>
      <c r="P102" s="5" t="s">
        <v>202</v>
      </c>
      <c r="Q102" s="5" t="s">
        <v>203</v>
      </c>
      <c r="R102" s="165" t="s">
        <v>9</v>
      </c>
      <c r="S102" s="5" t="s">
        <v>9</v>
      </c>
      <c r="T102" s="5" t="s">
        <v>1636</v>
      </c>
      <c r="U102" s="5"/>
      <c r="V102" s="5"/>
      <c r="W102" s="5"/>
      <c r="X102" s="5"/>
      <c r="Y102" s="165"/>
      <c r="Z102" s="5"/>
      <c r="AA102" s="5"/>
      <c r="AB102" s="71"/>
      <c r="AC102" s="5"/>
      <c r="AD102" s="5"/>
      <c r="AE102" s="5"/>
      <c r="AF102" s="5"/>
      <c r="AG102" s="5"/>
      <c r="AH102" s="5"/>
      <c r="AI102" s="5"/>
      <c r="AJ102" s="166"/>
      <c r="AK102" s="5"/>
    </row>
    <row r="103" spans="1:37" ht="14.25" customHeight="1">
      <c r="A103" s="5">
        <v>94</v>
      </c>
      <c r="B103" s="5" t="s">
        <v>191</v>
      </c>
      <c r="C103" s="5" t="s">
        <v>1014</v>
      </c>
      <c r="D103" s="2">
        <v>46103</v>
      </c>
      <c r="E103" s="5">
        <v>2633</v>
      </c>
      <c r="F103" s="5" t="s">
        <v>1831</v>
      </c>
      <c r="G103" s="5" t="s">
        <v>1071</v>
      </c>
      <c r="H103" s="5" t="s">
        <v>1832</v>
      </c>
      <c r="I103" s="5" t="s">
        <v>306</v>
      </c>
      <c r="J103" s="5">
        <v>2025</v>
      </c>
      <c r="K103" s="5" t="s">
        <v>1833</v>
      </c>
      <c r="L103" s="5" t="s">
        <v>1834</v>
      </c>
      <c r="M103" s="165" t="s">
        <v>1835</v>
      </c>
      <c r="N103" s="5" t="s">
        <v>1798</v>
      </c>
      <c r="O103" s="5" t="s">
        <v>1836</v>
      </c>
      <c r="P103" s="5" t="s">
        <v>1837</v>
      </c>
      <c r="Q103" s="5" t="s">
        <v>493</v>
      </c>
      <c r="R103" s="165" t="s">
        <v>9</v>
      </c>
      <c r="S103" s="5" t="s">
        <v>9</v>
      </c>
      <c r="T103" s="5" t="s">
        <v>736</v>
      </c>
      <c r="U103" s="5"/>
      <c r="V103" s="5"/>
      <c r="W103" s="5"/>
      <c r="X103" s="5"/>
      <c r="Y103" s="165"/>
      <c r="Z103" s="5"/>
      <c r="AA103" s="5"/>
      <c r="AB103" s="71"/>
      <c r="AC103" s="5"/>
      <c r="AD103" s="5"/>
      <c r="AE103" s="5"/>
      <c r="AF103" s="5"/>
      <c r="AG103" s="5"/>
      <c r="AH103" s="5"/>
      <c r="AI103" s="5"/>
      <c r="AJ103" s="166"/>
      <c r="AK103" s="5"/>
    </row>
    <row r="104" spans="1:37" ht="14.25" customHeight="1">
      <c r="A104" s="5">
        <v>95</v>
      </c>
      <c r="B104" s="5" t="s">
        <v>191</v>
      </c>
      <c r="C104" s="5" t="s">
        <v>1014</v>
      </c>
      <c r="D104" s="2">
        <v>46105</v>
      </c>
      <c r="E104" s="5">
        <v>2634</v>
      </c>
      <c r="F104" s="5" t="s">
        <v>1838</v>
      </c>
      <c r="G104" s="5" t="s">
        <v>1040</v>
      </c>
      <c r="H104" s="5" t="s">
        <v>1839</v>
      </c>
      <c r="I104" s="5" t="s">
        <v>306</v>
      </c>
      <c r="J104" s="5">
        <v>2023</v>
      </c>
      <c r="K104" s="5" t="s">
        <v>1840</v>
      </c>
      <c r="L104" s="5" t="s">
        <v>1841</v>
      </c>
      <c r="M104" s="165" t="s">
        <v>1842</v>
      </c>
      <c r="N104" s="5" t="s">
        <v>1843</v>
      </c>
      <c r="O104" s="5" t="s">
        <v>1844</v>
      </c>
      <c r="P104" s="5" t="s">
        <v>202</v>
      </c>
      <c r="Q104" s="5" t="s">
        <v>203</v>
      </c>
      <c r="R104" s="165" t="s">
        <v>9</v>
      </c>
      <c r="S104" s="5" t="s">
        <v>9</v>
      </c>
      <c r="T104" s="5" t="s">
        <v>736</v>
      </c>
      <c r="U104" s="5"/>
      <c r="V104" s="5"/>
      <c r="W104" s="5"/>
      <c r="X104" s="5"/>
      <c r="Y104" s="165"/>
      <c r="Z104" s="5"/>
      <c r="AA104" s="5"/>
      <c r="AB104" s="71"/>
      <c r="AC104" s="5"/>
      <c r="AD104" s="5"/>
      <c r="AE104" s="5"/>
      <c r="AF104" s="5"/>
      <c r="AG104" s="5"/>
      <c r="AH104" s="5"/>
      <c r="AI104" s="5"/>
      <c r="AJ104" s="166"/>
      <c r="AK104" s="5"/>
    </row>
    <row r="105" spans="1:37" ht="14.25" customHeight="1">
      <c r="A105" s="5">
        <v>96</v>
      </c>
      <c r="B105" s="5" t="s">
        <v>191</v>
      </c>
      <c r="C105" s="5" t="s">
        <v>1014</v>
      </c>
      <c r="D105" s="2">
        <v>46114</v>
      </c>
      <c r="E105" s="5">
        <v>2637</v>
      </c>
      <c r="F105" s="5" t="s">
        <v>1845</v>
      </c>
      <c r="G105" s="5" t="s">
        <v>1846</v>
      </c>
      <c r="H105" s="5" t="s">
        <v>1847</v>
      </c>
      <c r="I105" s="5" t="s">
        <v>306</v>
      </c>
      <c r="J105" s="5">
        <v>2008</v>
      </c>
      <c r="K105" s="5" t="s">
        <v>1848</v>
      </c>
      <c r="L105" s="5" t="s">
        <v>1849</v>
      </c>
      <c r="M105" s="165" t="s">
        <v>1850</v>
      </c>
      <c r="N105" s="5" t="s">
        <v>1851</v>
      </c>
      <c r="O105" s="5" t="s">
        <v>1852</v>
      </c>
      <c r="P105" s="5" t="s">
        <v>492</v>
      </c>
      <c r="Q105" s="5" t="s">
        <v>9</v>
      </c>
      <c r="R105" s="165" t="s">
        <v>9</v>
      </c>
      <c r="S105" s="5" t="s">
        <v>9</v>
      </c>
      <c r="T105" s="5" t="s">
        <v>736</v>
      </c>
      <c r="U105" s="5"/>
      <c r="V105" s="5"/>
      <c r="W105" s="5"/>
      <c r="X105" s="5"/>
      <c r="Y105" s="165"/>
      <c r="Z105" s="5"/>
      <c r="AA105" s="5"/>
      <c r="AB105" s="71"/>
      <c r="AC105" s="5"/>
      <c r="AD105" s="5"/>
      <c r="AE105" s="5"/>
      <c r="AF105" s="5"/>
      <c r="AG105" s="5"/>
      <c r="AH105" s="5"/>
      <c r="AI105" s="5"/>
      <c r="AJ105" s="166"/>
      <c r="AK105" s="5"/>
    </row>
    <row r="106" spans="1:37" ht="14.25" customHeight="1">
      <c r="A106" s="5">
        <v>97</v>
      </c>
      <c r="B106" s="5" t="s">
        <v>191</v>
      </c>
      <c r="C106" s="5" t="s">
        <v>1014</v>
      </c>
      <c r="D106" s="2">
        <v>46122</v>
      </c>
      <c r="E106" s="5">
        <v>2639</v>
      </c>
      <c r="F106" s="5" t="s">
        <v>1853</v>
      </c>
      <c r="G106" s="5" t="s">
        <v>1040</v>
      </c>
      <c r="H106" s="5" t="s">
        <v>1839</v>
      </c>
      <c r="I106" s="5" t="s">
        <v>306</v>
      </c>
      <c r="J106" s="5">
        <v>2021</v>
      </c>
      <c r="K106" s="5" t="s">
        <v>1854</v>
      </c>
      <c r="L106" s="5" t="s">
        <v>1855</v>
      </c>
      <c r="M106" s="165" t="s">
        <v>1856</v>
      </c>
      <c r="N106" s="5" t="s">
        <v>1857</v>
      </c>
      <c r="O106" s="5" t="s">
        <v>1858</v>
      </c>
      <c r="P106" s="5" t="s">
        <v>492</v>
      </c>
      <c r="Q106" s="5" t="s">
        <v>9</v>
      </c>
      <c r="R106" s="5" t="s">
        <v>9</v>
      </c>
      <c r="S106" s="5" t="s">
        <v>9</v>
      </c>
      <c r="T106" s="5" t="s">
        <v>1636</v>
      </c>
      <c r="AB106" s="71"/>
    </row>
    <row r="107" spans="1:37" ht="14.25" customHeight="1">
      <c r="A107" s="159">
        <v>98</v>
      </c>
      <c r="B107" s="159" t="s">
        <v>191</v>
      </c>
      <c r="C107" s="159" t="s">
        <v>1014</v>
      </c>
      <c r="D107" s="160">
        <v>46123</v>
      </c>
      <c r="E107" s="159">
        <v>2641</v>
      </c>
      <c r="F107" s="159" t="s">
        <v>1859</v>
      </c>
      <c r="G107" s="159" t="s">
        <v>1175</v>
      </c>
      <c r="H107" s="159" t="s">
        <v>1176</v>
      </c>
      <c r="I107" s="159" t="s">
        <v>306</v>
      </c>
      <c r="J107" s="159">
        <v>2012</v>
      </c>
      <c r="K107" s="159" t="s">
        <v>1860</v>
      </c>
      <c r="L107" s="159" t="s">
        <v>1861</v>
      </c>
      <c r="M107" s="161" t="s">
        <v>1862</v>
      </c>
      <c r="N107" s="159" t="s">
        <v>1863</v>
      </c>
      <c r="O107" s="159" t="s">
        <v>1864</v>
      </c>
      <c r="P107" s="159" t="s">
        <v>202</v>
      </c>
      <c r="Q107" s="159" t="s">
        <v>203</v>
      </c>
      <c r="R107" s="159" t="s">
        <v>9</v>
      </c>
      <c r="S107" s="159" t="s">
        <v>9</v>
      </c>
      <c r="T107" s="159" t="s">
        <v>1636</v>
      </c>
      <c r="U107" s="160">
        <v>46140</v>
      </c>
      <c r="V107" s="159" t="s">
        <v>1865</v>
      </c>
      <c r="W107" s="159" t="s">
        <v>215</v>
      </c>
      <c r="X107" s="159" t="s">
        <v>1866</v>
      </c>
      <c r="Y107" s="159">
        <v>2350973877</v>
      </c>
      <c r="Z107" s="159">
        <v>97595097</v>
      </c>
      <c r="AA107" s="159">
        <v>18</v>
      </c>
      <c r="AB107" s="162">
        <v>18</v>
      </c>
      <c r="AC107" s="159">
        <v>2641</v>
      </c>
      <c r="AD107" s="159" t="s">
        <v>1867</v>
      </c>
      <c r="AE107" s="159" t="s">
        <v>9</v>
      </c>
      <c r="AF107" s="159" t="s">
        <v>9</v>
      </c>
      <c r="AG107" s="159" t="s">
        <v>1301</v>
      </c>
      <c r="AH107" s="159" t="s">
        <v>1868</v>
      </c>
      <c r="AI107" s="160">
        <v>46140</v>
      </c>
      <c r="AJ107" s="159">
        <v>17598571</v>
      </c>
      <c r="AK107" s="159" t="s">
        <v>248</v>
      </c>
    </row>
    <row r="108" spans="1:37" ht="14.25" customHeight="1">
      <c r="A108" s="159">
        <v>99</v>
      </c>
      <c r="B108" s="159" t="s">
        <v>191</v>
      </c>
      <c r="C108" s="159" t="s">
        <v>1014</v>
      </c>
      <c r="D108" s="160">
        <v>46124</v>
      </c>
      <c r="E108" s="159">
        <v>2642</v>
      </c>
      <c r="F108" s="159" t="s">
        <v>1869</v>
      </c>
      <c r="G108" s="159" t="s">
        <v>1213</v>
      </c>
      <c r="H108" s="159" t="s">
        <v>1870</v>
      </c>
      <c r="I108" s="159" t="s">
        <v>478</v>
      </c>
      <c r="J108" s="159">
        <v>2024</v>
      </c>
      <c r="K108" s="159" t="s">
        <v>1871</v>
      </c>
      <c r="L108" s="159" t="s">
        <v>1872</v>
      </c>
      <c r="M108" s="161" t="s">
        <v>1873</v>
      </c>
      <c r="N108" s="159" t="s">
        <v>1874</v>
      </c>
      <c r="O108" s="179" t="s">
        <v>1875</v>
      </c>
      <c r="P108" s="159" t="s">
        <v>492</v>
      </c>
      <c r="Q108" s="159" t="s">
        <v>9</v>
      </c>
      <c r="R108" s="159" t="s">
        <v>9</v>
      </c>
      <c r="S108" s="159" t="s">
        <v>9</v>
      </c>
      <c r="T108" s="159" t="s">
        <v>1636</v>
      </c>
      <c r="U108" s="160">
        <v>46128</v>
      </c>
      <c r="V108" s="159" t="s">
        <v>1876</v>
      </c>
      <c r="W108" s="159" t="s">
        <v>215</v>
      </c>
      <c r="X108" s="159" t="s">
        <v>1875</v>
      </c>
      <c r="Y108" s="159" t="s">
        <v>1877</v>
      </c>
      <c r="Z108" s="159">
        <v>97272050</v>
      </c>
      <c r="AA108" s="159">
        <v>5</v>
      </c>
      <c r="AB108" s="162">
        <v>5</v>
      </c>
      <c r="AC108" s="159">
        <v>2642</v>
      </c>
      <c r="AD108" s="159" t="s">
        <v>538</v>
      </c>
      <c r="AE108" s="159" t="s">
        <v>9</v>
      </c>
      <c r="AF108" s="159" t="s">
        <v>9</v>
      </c>
      <c r="AG108" s="159" t="s">
        <v>9</v>
      </c>
      <c r="AH108" s="159" t="s">
        <v>9</v>
      </c>
      <c r="AI108" s="160">
        <v>46128</v>
      </c>
      <c r="AJ108" s="159">
        <v>17515005</v>
      </c>
      <c r="AK108" s="159" t="s">
        <v>248</v>
      </c>
    </row>
    <row r="109" spans="1:37" ht="14.25" customHeight="1">
      <c r="A109" s="159">
        <v>100</v>
      </c>
      <c r="B109" s="159" t="s">
        <v>191</v>
      </c>
      <c r="C109" s="159" t="s">
        <v>1014</v>
      </c>
      <c r="D109" s="160">
        <v>46133</v>
      </c>
      <c r="E109" s="159">
        <v>2646</v>
      </c>
      <c r="F109" s="159" t="s">
        <v>1878</v>
      </c>
      <c r="G109" s="159" t="s">
        <v>1016</v>
      </c>
      <c r="H109" s="159" t="s">
        <v>1879</v>
      </c>
      <c r="I109" s="159" t="s">
        <v>209</v>
      </c>
      <c r="J109" s="159">
        <v>2019</v>
      </c>
      <c r="K109" s="159" t="s">
        <v>1880</v>
      </c>
      <c r="L109" s="159" t="s">
        <v>1881</v>
      </c>
      <c r="M109" s="161" t="s">
        <v>1882</v>
      </c>
      <c r="N109" s="159" t="s">
        <v>1883</v>
      </c>
      <c r="O109" s="180" t="s">
        <v>1884</v>
      </c>
      <c r="P109" s="159" t="s">
        <v>492</v>
      </c>
      <c r="Q109" s="159" t="s">
        <v>9</v>
      </c>
      <c r="R109" s="159" t="s">
        <v>9</v>
      </c>
      <c r="S109" s="159" t="s">
        <v>9</v>
      </c>
      <c r="T109" s="159" t="s">
        <v>1636</v>
      </c>
      <c r="U109" s="160">
        <v>46134</v>
      </c>
      <c r="V109" s="159" t="s">
        <v>1885</v>
      </c>
      <c r="W109" s="159" t="s">
        <v>215</v>
      </c>
      <c r="X109" s="180" t="s">
        <v>1884</v>
      </c>
      <c r="Y109" s="161" t="s">
        <v>1886</v>
      </c>
      <c r="Z109" s="159">
        <v>97445830</v>
      </c>
      <c r="AA109" s="159">
        <v>2</v>
      </c>
      <c r="AB109" s="162">
        <v>2</v>
      </c>
      <c r="AC109" s="159">
        <v>2646</v>
      </c>
      <c r="AD109" s="159" t="s">
        <v>1867</v>
      </c>
      <c r="AE109" s="159" t="s">
        <v>9</v>
      </c>
      <c r="AF109" s="159" t="s">
        <v>9</v>
      </c>
      <c r="AG109" s="159" t="s">
        <v>9</v>
      </c>
      <c r="AH109" s="159" t="s">
        <v>9</v>
      </c>
      <c r="AI109" s="160">
        <v>46134</v>
      </c>
      <c r="AJ109" s="159">
        <v>17562238</v>
      </c>
      <c r="AK109" s="159" t="s">
        <v>248</v>
      </c>
    </row>
    <row r="110" spans="1:37" ht="14.25" customHeight="1">
      <c r="A110" s="159">
        <v>101</v>
      </c>
      <c r="B110" s="159" t="s">
        <v>191</v>
      </c>
      <c r="C110" s="159" t="s">
        <v>1014</v>
      </c>
      <c r="D110" s="160">
        <v>46134</v>
      </c>
      <c r="E110" s="159">
        <v>2648</v>
      </c>
      <c r="F110" s="159" t="s">
        <v>1887</v>
      </c>
      <c r="G110" s="159" t="s">
        <v>1206</v>
      </c>
      <c r="H110" s="159" t="s">
        <v>1888</v>
      </c>
      <c r="I110" s="159" t="s">
        <v>478</v>
      </c>
      <c r="J110" s="159">
        <v>2013</v>
      </c>
      <c r="K110" s="159" t="s">
        <v>1889</v>
      </c>
      <c r="L110" s="159" t="s">
        <v>1890</v>
      </c>
      <c r="M110" s="159" t="s">
        <v>1891</v>
      </c>
      <c r="N110" s="159" t="s">
        <v>1786</v>
      </c>
      <c r="O110" s="159" t="s">
        <v>1892</v>
      </c>
      <c r="P110" s="159" t="s">
        <v>492</v>
      </c>
      <c r="Q110" s="159" t="s">
        <v>9</v>
      </c>
      <c r="R110" s="159" t="s">
        <v>9</v>
      </c>
      <c r="S110" s="159" t="s">
        <v>9</v>
      </c>
      <c r="T110" s="159" t="s">
        <v>1867</v>
      </c>
      <c r="U110" s="160">
        <v>46135</v>
      </c>
      <c r="V110" s="159" t="s">
        <v>1893</v>
      </c>
      <c r="W110" s="159" t="s">
        <v>394</v>
      </c>
      <c r="X110" s="159" t="s">
        <v>1894</v>
      </c>
      <c r="Y110" s="159">
        <v>1707545453</v>
      </c>
      <c r="Z110" s="159">
        <v>97487547</v>
      </c>
      <c r="AA110" s="159">
        <v>2</v>
      </c>
      <c r="AB110" s="162">
        <v>2</v>
      </c>
      <c r="AC110" s="159">
        <v>2648</v>
      </c>
      <c r="AD110" s="159" t="s">
        <v>271</v>
      </c>
      <c r="AE110" s="159" t="s">
        <v>9</v>
      </c>
      <c r="AF110" s="159" t="s">
        <v>9</v>
      </c>
      <c r="AG110" s="159" t="s">
        <v>9</v>
      </c>
      <c r="AH110" s="159" t="s">
        <v>9</v>
      </c>
      <c r="AI110" s="160">
        <v>46135</v>
      </c>
      <c r="AJ110" s="161" t="s">
        <v>1895</v>
      </c>
      <c r="AK110" s="159" t="s">
        <v>233</v>
      </c>
    </row>
    <row r="111" spans="1:37" ht="14.25" customHeight="1">
      <c r="A111" s="181">
        <v>102</v>
      </c>
      <c r="B111" s="5" t="s">
        <v>191</v>
      </c>
      <c r="C111" s="5" t="s">
        <v>1014</v>
      </c>
      <c r="D111" s="2">
        <v>46134</v>
      </c>
      <c r="E111" s="5">
        <v>2649</v>
      </c>
      <c r="F111" s="5" t="s">
        <v>1896</v>
      </c>
      <c r="G111" s="5" t="s">
        <v>1213</v>
      </c>
      <c r="H111" s="182" t="s">
        <v>1897</v>
      </c>
      <c r="I111" s="5" t="s">
        <v>306</v>
      </c>
      <c r="J111" s="5">
        <v>2017</v>
      </c>
      <c r="K111" s="5" t="s">
        <v>1898</v>
      </c>
      <c r="L111" s="5" t="s">
        <v>1899</v>
      </c>
      <c r="M111" s="165" t="s">
        <v>1900</v>
      </c>
      <c r="N111" s="5" t="s">
        <v>1786</v>
      </c>
      <c r="O111" s="5" t="s">
        <v>1901</v>
      </c>
      <c r="P111" s="5" t="s">
        <v>492</v>
      </c>
      <c r="Q111" s="5" t="s">
        <v>9</v>
      </c>
      <c r="R111" s="5" t="s">
        <v>9</v>
      </c>
      <c r="S111" s="5" t="s">
        <v>9</v>
      </c>
      <c r="T111" s="5" t="s">
        <v>1867</v>
      </c>
      <c r="U111" s="5"/>
      <c r="V111" s="181"/>
      <c r="W111" s="181"/>
      <c r="X111" s="181"/>
      <c r="Y111" s="183"/>
      <c r="Z111" s="181"/>
      <c r="AA111" s="181"/>
      <c r="AB111" s="184"/>
      <c r="AC111" s="181"/>
      <c r="AD111" s="181"/>
      <c r="AE111" s="181"/>
      <c r="AF111" s="181"/>
      <c r="AG111" s="181"/>
      <c r="AH111" s="181"/>
      <c r="AI111" s="181"/>
      <c r="AJ111" s="185"/>
    </row>
    <row r="112" spans="1:37" ht="14.25" customHeight="1">
      <c r="A112" s="5">
        <v>103</v>
      </c>
      <c r="B112" s="5" t="s">
        <v>191</v>
      </c>
      <c r="C112" s="5" t="s">
        <v>1014</v>
      </c>
      <c r="D112" s="2">
        <v>46135</v>
      </c>
      <c r="E112" s="5">
        <v>2651</v>
      </c>
      <c r="F112" s="5" t="s">
        <v>1902</v>
      </c>
      <c r="G112" s="5" t="s">
        <v>1903</v>
      </c>
      <c r="H112" s="5" t="s">
        <v>1904</v>
      </c>
      <c r="I112" s="5" t="s">
        <v>224</v>
      </c>
      <c r="J112" s="5">
        <v>2012</v>
      </c>
      <c r="K112" s="5" t="s">
        <v>1905</v>
      </c>
      <c r="L112" s="5" t="s">
        <v>1906</v>
      </c>
      <c r="M112" s="165" t="s">
        <v>585</v>
      </c>
      <c r="N112" s="5" t="s">
        <v>586</v>
      </c>
      <c r="O112" s="5" t="s">
        <v>1907</v>
      </c>
      <c r="P112" s="5" t="s">
        <v>202</v>
      </c>
      <c r="Q112" s="5" t="s">
        <v>203</v>
      </c>
      <c r="R112" s="5" t="s">
        <v>9</v>
      </c>
      <c r="S112" s="5" t="s">
        <v>9</v>
      </c>
      <c r="T112" s="5" t="s">
        <v>271</v>
      </c>
      <c r="AB112" s="71"/>
    </row>
    <row r="113" spans="1:37" ht="14.25" customHeight="1">
      <c r="A113" s="5">
        <v>104</v>
      </c>
      <c r="B113" s="5" t="s">
        <v>191</v>
      </c>
      <c r="C113" s="5" t="s">
        <v>1014</v>
      </c>
      <c r="D113" s="2">
        <v>46140</v>
      </c>
      <c r="E113" s="5">
        <v>2653</v>
      </c>
      <c r="F113" s="5" t="s">
        <v>1908</v>
      </c>
      <c r="G113" s="5" t="s">
        <v>1213</v>
      </c>
      <c r="H113" s="5" t="s">
        <v>1909</v>
      </c>
      <c r="I113" s="5" t="s">
        <v>306</v>
      </c>
      <c r="J113" s="5">
        <v>2021</v>
      </c>
      <c r="K113" s="5" t="s">
        <v>1910</v>
      </c>
      <c r="L113" s="5" t="s">
        <v>1911</v>
      </c>
      <c r="M113" s="5" t="s">
        <v>1912</v>
      </c>
      <c r="N113" s="5" t="s">
        <v>1913</v>
      </c>
      <c r="O113" s="5" t="s">
        <v>1914</v>
      </c>
      <c r="P113" s="5" t="s">
        <v>492</v>
      </c>
      <c r="Q113" s="5" t="s">
        <v>9</v>
      </c>
      <c r="R113" s="5" t="s">
        <v>9</v>
      </c>
      <c r="S113" s="5" t="s">
        <v>9</v>
      </c>
      <c r="T113" s="5" t="s">
        <v>1867</v>
      </c>
      <c r="AB113" s="71"/>
    </row>
    <row r="114" spans="1:37" ht="14.25" customHeight="1">
      <c r="A114" s="159">
        <v>105</v>
      </c>
      <c r="B114" s="159" t="s">
        <v>191</v>
      </c>
      <c r="C114" s="159" t="s">
        <v>1014</v>
      </c>
      <c r="D114" s="160">
        <v>46140</v>
      </c>
      <c r="E114" s="159">
        <v>2654</v>
      </c>
      <c r="F114" s="159" t="s">
        <v>1915</v>
      </c>
      <c r="G114" s="159" t="s">
        <v>1801</v>
      </c>
      <c r="H114" s="159" t="s">
        <v>1916</v>
      </c>
      <c r="I114" s="159" t="s">
        <v>478</v>
      </c>
      <c r="J114" s="159">
        <v>2021</v>
      </c>
      <c r="K114" s="159" t="s">
        <v>1917</v>
      </c>
      <c r="L114" s="159" t="s">
        <v>1918</v>
      </c>
      <c r="M114" s="159" t="s">
        <v>1919</v>
      </c>
      <c r="N114" s="159" t="s">
        <v>1913</v>
      </c>
      <c r="O114" s="159" t="s">
        <v>1920</v>
      </c>
      <c r="P114" s="159" t="s">
        <v>492</v>
      </c>
      <c r="Q114" s="159" t="s">
        <v>9</v>
      </c>
      <c r="R114" s="159" t="s">
        <v>9</v>
      </c>
      <c r="S114" s="159" t="s">
        <v>9</v>
      </c>
      <c r="T114" s="159" t="s">
        <v>1867</v>
      </c>
      <c r="U114" s="160">
        <v>46149</v>
      </c>
      <c r="V114" s="159" t="s">
        <v>1921</v>
      </c>
      <c r="W114" s="159" t="s">
        <v>215</v>
      </c>
      <c r="X114" s="159" t="s">
        <v>1922</v>
      </c>
      <c r="Y114" s="161" t="s">
        <v>1923</v>
      </c>
      <c r="Z114" s="159">
        <v>97823537</v>
      </c>
      <c r="AA114" s="159">
        <v>10</v>
      </c>
      <c r="AB114" s="162">
        <v>10</v>
      </c>
      <c r="AC114" s="159">
        <v>2654</v>
      </c>
      <c r="AD114" s="159" t="s">
        <v>736</v>
      </c>
      <c r="AE114" s="159" t="s">
        <v>9</v>
      </c>
      <c r="AF114" s="159" t="s">
        <v>9</v>
      </c>
      <c r="AG114" s="159" t="s">
        <v>9</v>
      </c>
      <c r="AH114" s="159" t="s">
        <v>9</v>
      </c>
      <c r="AI114" s="160">
        <v>46149</v>
      </c>
      <c r="AJ114" s="159">
        <v>17655469</v>
      </c>
      <c r="AK114" s="159" t="s">
        <v>248</v>
      </c>
    </row>
    <row r="115" spans="1:37" ht="14.25" customHeight="1">
      <c r="A115" s="5">
        <v>106</v>
      </c>
      <c r="B115" s="5" t="s">
        <v>191</v>
      </c>
      <c r="C115" s="5" t="s">
        <v>1014</v>
      </c>
      <c r="D115" s="2">
        <v>46140</v>
      </c>
      <c r="E115" s="5">
        <v>2655</v>
      </c>
      <c r="F115" s="5" t="s">
        <v>1924</v>
      </c>
      <c r="G115" s="5" t="s">
        <v>1126</v>
      </c>
      <c r="H115" s="5" t="s">
        <v>1925</v>
      </c>
      <c r="I115" s="5" t="s">
        <v>478</v>
      </c>
      <c r="J115" s="5">
        <v>2021</v>
      </c>
      <c r="K115" s="5" t="s">
        <v>1926</v>
      </c>
      <c r="L115" s="5" t="s">
        <v>1927</v>
      </c>
      <c r="M115" s="165" t="s">
        <v>1928</v>
      </c>
      <c r="N115" s="5" t="s">
        <v>1929</v>
      </c>
      <c r="O115" s="5" t="s">
        <v>1930</v>
      </c>
      <c r="P115" s="5" t="s">
        <v>202</v>
      </c>
      <c r="Q115" s="5" t="s">
        <v>203</v>
      </c>
      <c r="R115" s="5" t="s">
        <v>9</v>
      </c>
      <c r="S115" s="5" t="s">
        <v>9</v>
      </c>
      <c r="T115" s="5" t="s">
        <v>1867</v>
      </c>
      <c r="AB115" s="71"/>
    </row>
    <row r="116" spans="1:37" ht="14.25" customHeight="1">
      <c r="A116" s="5">
        <v>107</v>
      </c>
      <c r="B116" s="5" t="s">
        <v>191</v>
      </c>
      <c r="C116" s="5" t="s">
        <v>1014</v>
      </c>
      <c r="D116" s="2">
        <v>46141</v>
      </c>
      <c r="E116" s="5">
        <v>2656</v>
      </c>
      <c r="F116" s="5" t="s">
        <v>1931</v>
      </c>
      <c r="G116" s="5" t="s">
        <v>1206</v>
      </c>
      <c r="H116" s="5" t="s">
        <v>1678</v>
      </c>
      <c r="I116" s="5" t="s">
        <v>458</v>
      </c>
      <c r="J116" s="5">
        <v>2026</v>
      </c>
      <c r="K116" s="5" t="s">
        <v>1932</v>
      </c>
      <c r="L116" s="5" t="s">
        <v>1933</v>
      </c>
      <c r="M116" s="165" t="s">
        <v>1934</v>
      </c>
      <c r="N116" s="5" t="s">
        <v>1935</v>
      </c>
      <c r="O116" s="5" t="s">
        <v>1936</v>
      </c>
      <c r="P116" s="5" t="s">
        <v>1937</v>
      </c>
      <c r="Q116" s="5" t="s">
        <v>9</v>
      </c>
      <c r="R116" s="5" t="s">
        <v>9</v>
      </c>
      <c r="S116" s="5" t="s">
        <v>9</v>
      </c>
      <c r="T116" s="5" t="s">
        <v>1636</v>
      </c>
      <c r="AB116" s="71"/>
    </row>
    <row r="117" spans="1:37" ht="14.25" customHeight="1">
      <c r="A117" s="5">
        <v>108</v>
      </c>
      <c r="B117" s="5" t="s">
        <v>191</v>
      </c>
      <c r="C117" s="5" t="s">
        <v>1014</v>
      </c>
      <c r="D117" s="2">
        <v>46145</v>
      </c>
      <c r="E117" s="5">
        <v>2658</v>
      </c>
      <c r="F117" s="171" t="s">
        <v>1695</v>
      </c>
      <c r="G117" s="5" t="s">
        <v>1144</v>
      </c>
      <c r="H117" s="137" t="s">
        <v>1781</v>
      </c>
      <c r="I117" s="5" t="s">
        <v>306</v>
      </c>
      <c r="J117" s="5">
        <v>2026</v>
      </c>
      <c r="K117" s="5" t="s">
        <v>1938</v>
      </c>
      <c r="L117" s="5" t="s">
        <v>1939</v>
      </c>
      <c r="M117" s="165" t="s">
        <v>1940</v>
      </c>
      <c r="N117" s="5" t="s">
        <v>1941</v>
      </c>
      <c r="O117" s="137" t="s">
        <v>1942</v>
      </c>
      <c r="P117" s="5" t="s">
        <v>202</v>
      </c>
      <c r="Q117" s="5" t="s">
        <v>203</v>
      </c>
      <c r="R117" s="5" t="s">
        <v>9</v>
      </c>
      <c r="S117" s="5" t="s">
        <v>9</v>
      </c>
      <c r="T117" s="5" t="s">
        <v>1867</v>
      </c>
      <c r="U117" s="5"/>
      <c r="V117" s="5"/>
      <c r="W117" s="5"/>
      <c r="X117" s="5"/>
      <c r="Y117" s="165"/>
      <c r="Z117" s="5"/>
      <c r="AA117" s="5"/>
      <c r="AB117" s="71"/>
      <c r="AC117" s="5"/>
      <c r="AD117" s="5"/>
      <c r="AE117" s="5"/>
      <c r="AF117" s="5"/>
      <c r="AG117" s="5"/>
      <c r="AH117" s="5"/>
      <c r="AI117" s="5"/>
      <c r="AJ117" s="166"/>
      <c r="AK117" s="5"/>
    </row>
    <row r="118" spans="1:37" ht="14.25" customHeight="1">
      <c r="A118" s="159">
        <v>109</v>
      </c>
      <c r="B118" s="159" t="s">
        <v>191</v>
      </c>
      <c r="C118" s="159" t="s">
        <v>1014</v>
      </c>
      <c r="D118" s="160">
        <v>46146</v>
      </c>
      <c r="E118" s="159">
        <v>2661</v>
      </c>
      <c r="F118" s="159" t="s">
        <v>1943</v>
      </c>
      <c r="G118" s="159" t="s">
        <v>1801</v>
      </c>
      <c r="H118" s="159" t="s">
        <v>1944</v>
      </c>
      <c r="I118" s="159" t="s">
        <v>306</v>
      </c>
      <c r="J118" s="159">
        <v>2022</v>
      </c>
      <c r="K118" s="159" t="s">
        <v>1945</v>
      </c>
      <c r="L118" s="159" t="s">
        <v>1946</v>
      </c>
      <c r="M118" s="161" t="s">
        <v>1947</v>
      </c>
      <c r="N118" s="159" t="s">
        <v>1786</v>
      </c>
      <c r="O118" s="159" t="s">
        <v>1948</v>
      </c>
      <c r="P118" s="159" t="s">
        <v>492</v>
      </c>
      <c r="Q118" s="159" t="s">
        <v>1949</v>
      </c>
      <c r="R118" s="161" t="s">
        <v>9</v>
      </c>
      <c r="S118" s="159" t="s">
        <v>9</v>
      </c>
      <c r="T118" s="159" t="s">
        <v>1867</v>
      </c>
      <c r="U118" s="160">
        <v>46147</v>
      </c>
      <c r="V118" s="159" t="s">
        <v>1950</v>
      </c>
      <c r="W118" s="159" t="s">
        <v>215</v>
      </c>
      <c r="X118" s="159" t="s">
        <v>1948</v>
      </c>
      <c r="Y118" s="161" t="s">
        <v>1951</v>
      </c>
      <c r="Z118" s="159">
        <v>97742228</v>
      </c>
      <c r="AA118" s="159">
        <v>2</v>
      </c>
      <c r="AB118" s="162">
        <v>2</v>
      </c>
      <c r="AC118" s="159">
        <v>2661</v>
      </c>
      <c r="AD118" s="159" t="s">
        <v>736</v>
      </c>
      <c r="AE118" s="159" t="s">
        <v>9</v>
      </c>
      <c r="AF118" s="159" t="s">
        <v>9</v>
      </c>
      <c r="AG118" s="159" t="s">
        <v>9</v>
      </c>
      <c r="AH118" s="159" t="s">
        <v>9</v>
      </c>
      <c r="AI118" s="160">
        <v>46147</v>
      </c>
      <c r="AJ118" s="163" t="s">
        <v>1952</v>
      </c>
      <c r="AK118" s="159" t="s">
        <v>248</v>
      </c>
    </row>
    <row r="119" spans="1:37" ht="14.25" customHeight="1">
      <c r="A119" s="5">
        <v>110</v>
      </c>
      <c r="B119" s="5" t="s">
        <v>191</v>
      </c>
      <c r="C119" s="5" t="s">
        <v>1014</v>
      </c>
      <c r="D119" s="2">
        <v>46150</v>
      </c>
      <c r="E119" s="5">
        <v>2664</v>
      </c>
      <c r="F119" s="5" t="s">
        <v>1953</v>
      </c>
      <c r="G119" s="5" t="s">
        <v>1206</v>
      </c>
      <c r="H119" s="5" t="s">
        <v>1954</v>
      </c>
      <c r="I119" s="5" t="s">
        <v>306</v>
      </c>
      <c r="J119" s="5">
        <v>2012</v>
      </c>
      <c r="K119" s="5" t="s">
        <v>1955</v>
      </c>
      <c r="L119" s="5" t="s">
        <v>1956</v>
      </c>
      <c r="M119" s="165" t="s">
        <v>1957</v>
      </c>
      <c r="N119" s="10" t="s">
        <v>1958</v>
      </c>
      <c r="O119" s="5" t="s">
        <v>1959</v>
      </c>
      <c r="P119" s="5" t="s">
        <v>492</v>
      </c>
      <c r="Q119" s="5" t="s">
        <v>1949</v>
      </c>
      <c r="R119" s="165" t="s">
        <v>9</v>
      </c>
      <c r="S119" s="5" t="s">
        <v>9</v>
      </c>
      <c r="T119" s="5" t="s">
        <v>538</v>
      </c>
      <c r="U119" s="5"/>
      <c r="V119" s="5"/>
      <c r="W119" s="5"/>
      <c r="X119" s="5"/>
      <c r="Y119" s="165"/>
      <c r="Z119" s="5"/>
      <c r="AA119" s="5"/>
      <c r="AB119" s="71"/>
      <c r="AC119" s="5"/>
      <c r="AD119" s="5"/>
      <c r="AE119" s="5"/>
      <c r="AF119" s="5"/>
      <c r="AG119" s="5"/>
      <c r="AH119" s="5"/>
      <c r="AI119" s="5"/>
      <c r="AJ119" s="166"/>
      <c r="AK119" s="5"/>
    </row>
    <row r="120" spans="1:37" ht="14.25" customHeight="1">
      <c r="A120" s="5">
        <v>111</v>
      </c>
      <c r="B120" s="5" t="s">
        <v>191</v>
      </c>
      <c r="C120" s="5" t="s">
        <v>1014</v>
      </c>
      <c r="D120" s="2">
        <v>46150</v>
      </c>
      <c r="E120" s="5">
        <v>2665</v>
      </c>
      <c r="F120" s="5" t="s">
        <v>1960</v>
      </c>
      <c r="G120" s="5" t="s">
        <v>1175</v>
      </c>
      <c r="H120" s="5" t="s">
        <v>1961</v>
      </c>
      <c r="I120" s="5" t="s">
        <v>306</v>
      </c>
      <c r="J120" s="5">
        <v>2016</v>
      </c>
      <c r="K120" s="5" t="s">
        <v>1962</v>
      </c>
      <c r="L120" s="5" t="s">
        <v>1963</v>
      </c>
      <c r="M120" s="165"/>
      <c r="N120" s="5" t="s">
        <v>1964</v>
      </c>
      <c r="O120" s="5" t="s">
        <v>1965</v>
      </c>
      <c r="P120" s="5" t="s">
        <v>202</v>
      </c>
      <c r="Q120" s="5" t="s">
        <v>203</v>
      </c>
      <c r="R120" s="165" t="s">
        <v>9</v>
      </c>
      <c r="S120" s="5" t="s">
        <v>9</v>
      </c>
      <c r="T120" s="5" t="s">
        <v>538</v>
      </c>
      <c r="U120" s="5"/>
      <c r="V120" s="5"/>
      <c r="W120" s="5"/>
      <c r="X120" s="5"/>
      <c r="Y120" s="165"/>
      <c r="Z120" s="5"/>
      <c r="AA120" s="5"/>
      <c r="AB120" s="71"/>
      <c r="AC120" s="5"/>
      <c r="AD120" s="5"/>
      <c r="AE120" s="5"/>
      <c r="AF120" s="5"/>
      <c r="AG120" s="5"/>
      <c r="AH120" s="5"/>
      <c r="AI120" s="5"/>
      <c r="AJ120" s="166"/>
      <c r="AK120" s="5"/>
    </row>
    <row r="121" spans="1:37" ht="14.25" customHeight="1">
      <c r="A121" s="5"/>
      <c r="B121" s="5"/>
      <c r="C121" s="5"/>
      <c r="D121" s="2"/>
      <c r="E121" s="5"/>
      <c r="F121" s="5"/>
      <c r="G121" s="5"/>
      <c r="H121" s="5"/>
      <c r="I121" s="5"/>
      <c r="J121" s="5"/>
      <c r="K121" s="5"/>
      <c r="L121" s="5"/>
      <c r="M121" s="165"/>
      <c r="N121" s="5"/>
      <c r="O121" s="5"/>
      <c r="P121" s="5"/>
      <c r="Q121" s="5"/>
      <c r="R121" s="165"/>
      <c r="S121" s="5"/>
      <c r="T121" s="5"/>
      <c r="U121" s="5"/>
      <c r="V121" s="5"/>
      <c r="W121" s="5"/>
      <c r="X121" s="5"/>
      <c r="Y121" s="165"/>
      <c r="Z121" s="5"/>
      <c r="AA121" s="5"/>
      <c r="AB121" s="71"/>
      <c r="AC121" s="5"/>
      <c r="AD121" s="5"/>
      <c r="AE121" s="5"/>
      <c r="AF121" s="5"/>
      <c r="AG121" s="5"/>
      <c r="AH121" s="5"/>
      <c r="AI121" s="5"/>
      <c r="AJ121" s="166"/>
      <c r="AK121" s="5"/>
    </row>
    <row r="122" spans="1:37" ht="14.25" customHeight="1">
      <c r="A122" s="5"/>
      <c r="B122" s="5"/>
      <c r="C122" s="5"/>
      <c r="D122" s="2"/>
      <c r="E122" s="5"/>
      <c r="F122" s="5"/>
      <c r="G122" s="5"/>
      <c r="H122" s="5"/>
      <c r="I122" s="5"/>
      <c r="J122" s="5"/>
      <c r="K122" s="5"/>
      <c r="L122" s="5"/>
      <c r="M122" s="165"/>
      <c r="N122" s="5"/>
      <c r="O122" s="5"/>
      <c r="P122" s="5"/>
      <c r="Q122" s="5"/>
      <c r="R122" s="165"/>
      <c r="S122" s="5"/>
      <c r="T122" s="5"/>
      <c r="U122" s="5"/>
      <c r="V122" s="5"/>
      <c r="W122" s="5"/>
      <c r="X122" s="5"/>
      <c r="Y122" s="165"/>
      <c r="Z122" s="5"/>
      <c r="AA122" s="5"/>
      <c r="AB122" s="71"/>
      <c r="AC122" s="5"/>
      <c r="AD122" s="5"/>
      <c r="AE122" s="5"/>
      <c r="AF122" s="5"/>
      <c r="AG122" s="5"/>
      <c r="AH122" s="5"/>
      <c r="AI122" s="5"/>
      <c r="AJ122" s="166"/>
      <c r="AK122" s="5"/>
    </row>
    <row r="123" spans="1:37" ht="14.25" customHeight="1">
      <c r="A123" s="5"/>
      <c r="B123" s="5"/>
      <c r="C123" s="5"/>
      <c r="D123" s="2"/>
      <c r="E123" s="5"/>
      <c r="F123" s="5"/>
      <c r="G123" s="5"/>
      <c r="H123" s="5"/>
      <c r="I123" s="5"/>
      <c r="J123" s="5"/>
      <c r="K123" s="5"/>
      <c r="L123" s="5"/>
      <c r="M123" s="165"/>
      <c r="N123" s="5"/>
      <c r="O123" s="5"/>
      <c r="P123" s="5"/>
      <c r="Q123" s="5"/>
      <c r="R123" s="165"/>
      <c r="S123" s="5"/>
      <c r="T123" s="5"/>
      <c r="U123" s="5"/>
      <c r="V123" s="5"/>
      <c r="W123" s="5"/>
      <c r="X123" s="5"/>
      <c r="Y123" s="165"/>
      <c r="Z123" s="5"/>
      <c r="AA123" s="5"/>
      <c r="AB123" s="71"/>
      <c r="AC123" s="5"/>
      <c r="AD123" s="5"/>
      <c r="AE123" s="5"/>
      <c r="AF123" s="5"/>
      <c r="AG123" s="5"/>
      <c r="AH123" s="5"/>
      <c r="AI123" s="5"/>
      <c r="AJ123" s="166"/>
      <c r="AK123" s="5"/>
    </row>
    <row r="124" spans="1:37" ht="14.25" customHeight="1">
      <c r="A124" s="5"/>
      <c r="B124" s="5"/>
      <c r="C124" s="5"/>
      <c r="D124" s="2"/>
      <c r="E124" s="5"/>
      <c r="F124" s="5"/>
      <c r="G124" s="5"/>
      <c r="H124" s="5"/>
      <c r="I124" s="5"/>
      <c r="J124" s="5"/>
      <c r="K124" s="5"/>
      <c r="L124" s="5"/>
      <c r="M124" s="165"/>
      <c r="N124" s="5"/>
      <c r="O124" s="5"/>
      <c r="P124" s="5"/>
      <c r="Q124" s="5"/>
      <c r="R124" s="165"/>
      <c r="S124" s="5"/>
      <c r="T124" s="5"/>
      <c r="U124" s="5"/>
      <c r="V124" s="5"/>
      <c r="W124" s="5"/>
      <c r="X124" s="5"/>
      <c r="Y124" s="165"/>
      <c r="Z124" s="5"/>
      <c r="AA124" s="5"/>
      <c r="AB124" s="71"/>
      <c r="AC124" s="5"/>
      <c r="AD124" s="5"/>
      <c r="AE124" s="5"/>
      <c r="AF124" s="5"/>
      <c r="AG124" s="5"/>
      <c r="AH124" s="5"/>
      <c r="AI124" s="5"/>
      <c r="AJ124" s="166"/>
      <c r="AK124" s="5"/>
    </row>
    <row r="125" spans="1:37" ht="14.25" customHeight="1">
      <c r="A125" s="5"/>
      <c r="B125" s="5"/>
      <c r="C125" s="5"/>
      <c r="D125" s="2"/>
      <c r="E125" s="5"/>
      <c r="F125" s="5"/>
      <c r="G125" s="5"/>
      <c r="H125" s="5"/>
      <c r="I125" s="5"/>
      <c r="J125" s="5"/>
      <c r="K125" s="5"/>
      <c r="L125" s="5"/>
      <c r="M125" s="165"/>
      <c r="N125" s="5"/>
      <c r="O125" s="5"/>
      <c r="P125" s="5"/>
      <c r="Q125" s="5"/>
      <c r="R125" s="165"/>
      <c r="S125" s="5"/>
      <c r="T125" s="5"/>
      <c r="U125" s="5"/>
      <c r="V125" s="5"/>
      <c r="W125" s="5"/>
      <c r="X125" s="5"/>
      <c r="Y125" s="165"/>
      <c r="Z125" s="5"/>
      <c r="AA125" s="5"/>
      <c r="AB125" s="71"/>
      <c r="AC125" s="5"/>
      <c r="AD125" s="5"/>
      <c r="AE125" s="5"/>
      <c r="AF125" s="5"/>
      <c r="AG125" s="5"/>
      <c r="AH125" s="5"/>
      <c r="AI125" s="5"/>
      <c r="AJ125" s="166"/>
      <c r="AK125" s="5"/>
    </row>
    <row r="126" spans="1:37" ht="14.25" customHeight="1">
      <c r="A126" s="5"/>
      <c r="B126" s="5"/>
      <c r="C126" s="5"/>
      <c r="D126" s="2"/>
      <c r="E126" s="5"/>
      <c r="F126" s="5"/>
      <c r="G126" s="5"/>
      <c r="H126" s="5"/>
      <c r="I126" s="5"/>
      <c r="J126" s="5"/>
      <c r="K126" s="5"/>
      <c r="L126" s="5"/>
      <c r="M126" s="165"/>
      <c r="N126" s="5"/>
      <c r="O126" s="5"/>
      <c r="P126" s="5"/>
      <c r="Q126" s="5"/>
      <c r="R126" s="165"/>
      <c r="S126" s="5"/>
      <c r="T126" s="5"/>
      <c r="U126" s="5"/>
      <c r="V126" s="5"/>
      <c r="W126" s="5"/>
      <c r="X126" s="5"/>
      <c r="Y126" s="165"/>
      <c r="Z126" s="5"/>
      <c r="AA126" s="5"/>
      <c r="AB126" s="71"/>
      <c r="AC126" s="5"/>
      <c r="AD126" s="5"/>
      <c r="AE126" s="5"/>
      <c r="AF126" s="5"/>
      <c r="AG126" s="5"/>
      <c r="AH126" s="5"/>
      <c r="AI126" s="5"/>
      <c r="AJ126" s="166"/>
      <c r="AK126" s="5"/>
    </row>
    <row r="127" spans="1:37" ht="14.25" customHeight="1">
      <c r="A127" s="5"/>
      <c r="B127" s="5"/>
      <c r="C127" s="5"/>
      <c r="D127" s="2"/>
      <c r="E127" s="5"/>
      <c r="F127" s="5"/>
      <c r="G127" s="5"/>
      <c r="H127" s="5"/>
      <c r="I127" s="5"/>
      <c r="J127" s="5"/>
      <c r="K127" s="5"/>
      <c r="L127" s="5"/>
      <c r="M127" s="165"/>
      <c r="N127" s="5"/>
      <c r="O127" s="5"/>
      <c r="P127" s="5"/>
      <c r="Q127" s="5"/>
      <c r="R127" s="165"/>
      <c r="S127" s="5"/>
      <c r="T127" s="5"/>
      <c r="U127" s="5"/>
      <c r="V127" s="5"/>
      <c r="W127" s="5"/>
      <c r="X127" s="5"/>
      <c r="Y127" s="165"/>
      <c r="Z127" s="5"/>
      <c r="AA127" s="5"/>
      <c r="AB127" s="71"/>
      <c r="AC127" s="5"/>
      <c r="AD127" s="5"/>
      <c r="AE127" s="5"/>
      <c r="AF127" s="5"/>
      <c r="AG127" s="5"/>
      <c r="AH127" s="5"/>
      <c r="AI127" s="5"/>
      <c r="AJ127" s="166"/>
      <c r="AK127" s="5"/>
    </row>
    <row r="128" spans="1:37" ht="14.25" customHeight="1">
      <c r="A128" s="5"/>
      <c r="B128" s="5"/>
      <c r="C128" s="5"/>
      <c r="D128" s="2"/>
      <c r="E128" s="5"/>
      <c r="F128" s="5"/>
      <c r="G128" s="5"/>
      <c r="H128" s="5"/>
      <c r="I128" s="5"/>
      <c r="J128" s="5"/>
      <c r="K128" s="5"/>
      <c r="L128" s="5"/>
      <c r="M128" s="165"/>
      <c r="N128" s="5"/>
      <c r="O128" s="5"/>
      <c r="P128" s="5"/>
      <c r="Q128" s="5"/>
      <c r="R128" s="165"/>
      <c r="S128" s="5"/>
      <c r="T128" s="5"/>
      <c r="U128" s="5"/>
      <c r="V128" s="5"/>
      <c r="W128" s="5"/>
      <c r="X128" s="5"/>
      <c r="Y128" s="165"/>
      <c r="Z128" s="5"/>
      <c r="AA128" s="5"/>
      <c r="AB128" s="71"/>
      <c r="AC128" s="5"/>
      <c r="AD128" s="5"/>
      <c r="AE128" s="5"/>
      <c r="AF128" s="5"/>
      <c r="AG128" s="5"/>
      <c r="AH128" s="5"/>
      <c r="AI128" s="5"/>
      <c r="AJ128" s="166"/>
      <c r="AK128" s="5"/>
    </row>
    <row r="129" spans="1:37" ht="14.25" customHeight="1">
      <c r="A129" s="5"/>
      <c r="B129" s="5"/>
      <c r="C129" s="5"/>
      <c r="D129" s="2"/>
      <c r="E129" s="5"/>
      <c r="F129" s="5"/>
      <c r="G129" s="5"/>
      <c r="H129" s="5"/>
      <c r="I129" s="5"/>
      <c r="J129" s="5"/>
      <c r="K129" s="5"/>
      <c r="L129" s="5"/>
      <c r="M129" s="165"/>
      <c r="N129" s="5"/>
      <c r="O129" s="5"/>
      <c r="P129" s="5"/>
      <c r="Q129" s="5"/>
      <c r="R129" s="165"/>
      <c r="S129" s="5"/>
      <c r="T129" s="5"/>
      <c r="U129" s="5"/>
      <c r="V129" s="5"/>
      <c r="W129" s="5"/>
      <c r="X129" s="5"/>
      <c r="Y129" s="165"/>
      <c r="Z129" s="5"/>
      <c r="AA129" s="5"/>
      <c r="AB129" s="71"/>
      <c r="AC129" s="5"/>
      <c r="AD129" s="5"/>
      <c r="AE129" s="5"/>
      <c r="AF129" s="5"/>
      <c r="AG129" s="5"/>
      <c r="AH129" s="5"/>
      <c r="AI129" s="5"/>
      <c r="AJ129" s="166"/>
      <c r="AK129" s="5"/>
    </row>
    <row r="130" spans="1:37" ht="14.25" customHeight="1">
      <c r="A130" s="5"/>
      <c r="B130" s="5"/>
      <c r="C130" s="5"/>
      <c r="D130" s="2"/>
      <c r="E130" s="5"/>
      <c r="F130" s="5"/>
      <c r="G130" s="5"/>
      <c r="H130" s="5"/>
      <c r="I130" s="5"/>
      <c r="J130" s="5"/>
      <c r="K130" s="5"/>
      <c r="L130" s="5"/>
      <c r="M130" s="165"/>
      <c r="N130" s="5"/>
      <c r="O130" s="5"/>
      <c r="P130" s="5"/>
      <c r="Q130" s="5"/>
      <c r="R130" s="165"/>
      <c r="S130" s="5"/>
      <c r="T130" s="5"/>
      <c r="U130" s="5"/>
      <c r="V130" s="5"/>
      <c r="W130" s="5"/>
      <c r="X130" s="5"/>
      <c r="Y130" s="165"/>
      <c r="Z130" s="5"/>
      <c r="AA130" s="5"/>
      <c r="AB130" s="71"/>
      <c r="AC130" s="5"/>
      <c r="AD130" s="5"/>
      <c r="AE130" s="5"/>
      <c r="AF130" s="5"/>
      <c r="AG130" s="5"/>
      <c r="AH130" s="5"/>
      <c r="AI130" s="5"/>
      <c r="AJ130" s="166"/>
      <c r="AK130" s="5"/>
    </row>
    <row r="131" spans="1:37" ht="14.25" customHeight="1">
      <c r="A131" s="5"/>
      <c r="B131" s="5"/>
      <c r="C131" s="5"/>
      <c r="D131" s="2"/>
      <c r="E131" s="5"/>
      <c r="F131" s="5"/>
      <c r="G131" s="5"/>
      <c r="H131" s="5"/>
      <c r="I131" s="5"/>
      <c r="J131" s="5"/>
      <c r="K131" s="5"/>
      <c r="L131" s="5"/>
      <c r="M131" s="165"/>
      <c r="N131" s="5"/>
      <c r="O131" s="5"/>
      <c r="P131" s="5"/>
      <c r="Q131" s="5"/>
      <c r="R131" s="165"/>
      <c r="S131" s="5"/>
      <c r="T131" s="5"/>
      <c r="U131" s="5"/>
      <c r="V131" s="5"/>
      <c r="W131" s="5"/>
      <c r="X131" s="5"/>
      <c r="Y131" s="165"/>
      <c r="Z131" s="5"/>
      <c r="AA131" s="5"/>
      <c r="AB131" s="71"/>
      <c r="AC131" s="5"/>
      <c r="AD131" s="5"/>
      <c r="AE131" s="5"/>
      <c r="AF131" s="5"/>
      <c r="AG131" s="5"/>
      <c r="AH131" s="5"/>
      <c r="AI131" s="5"/>
      <c r="AJ131" s="166"/>
      <c r="AK131" s="5"/>
    </row>
    <row r="132" spans="1:37" ht="14.25" customHeight="1">
      <c r="A132" s="5"/>
      <c r="B132" s="5"/>
      <c r="C132" s="5"/>
      <c r="D132" s="2"/>
      <c r="E132" s="5"/>
      <c r="F132" s="5"/>
      <c r="G132" s="5"/>
      <c r="H132" s="5"/>
      <c r="I132" s="5"/>
      <c r="J132" s="5"/>
      <c r="K132" s="5"/>
      <c r="L132" s="5"/>
      <c r="M132" s="165"/>
      <c r="N132" s="5"/>
      <c r="O132" s="5"/>
      <c r="P132" s="5"/>
      <c r="Q132" s="5"/>
      <c r="R132" s="165"/>
      <c r="S132" s="5"/>
      <c r="T132" s="5"/>
      <c r="U132" s="5"/>
      <c r="V132" s="5"/>
      <c r="W132" s="5"/>
      <c r="X132" s="5"/>
      <c r="Y132" s="165"/>
      <c r="Z132" s="5"/>
      <c r="AA132" s="5"/>
      <c r="AB132" s="71"/>
      <c r="AC132" s="5"/>
      <c r="AD132" s="5"/>
      <c r="AE132" s="5"/>
      <c r="AF132" s="5"/>
      <c r="AG132" s="5"/>
      <c r="AH132" s="5"/>
      <c r="AI132" s="5"/>
      <c r="AJ132" s="166"/>
      <c r="AK132" s="5"/>
    </row>
    <row r="133" spans="1:37" ht="14.25" customHeight="1">
      <c r="A133" s="5"/>
      <c r="B133" s="5"/>
      <c r="C133" s="5"/>
      <c r="D133" s="2"/>
      <c r="E133" s="5"/>
      <c r="F133" s="5"/>
      <c r="G133" s="5"/>
      <c r="H133" s="5"/>
      <c r="I133" s="5"/>
      <c r="J133" s="5"/>
      <c r="K133" s="5"/>
      <c r="L133" s="5"/>
      <c r="M133" s="165"/>
      <c r="N133" s="5"/>
      <c r="O133" s="5"/>
      <c r="P133" s="5"/>
      <c r="Q133" s="5"/>
      <c r="R133" s="165"/>
      <c r="S133" s="5"/>
      <c r="T133" s="5"/>
      <c r="U133" s="5"/>
      <c r="V133" s="5"/>
      <c r="W133" s="5"/>
      <c r="X133" s="5"/>
      <c r="Y133" s="165"/>
      <c r="Z133" s="5"/>
      <c r="AA133" s="5"/>
      <c r="AB133" s="71"/>
      <c r="AC133" s="5"/>
      <c r="AD133" s="5"/>
      <c r="AE133" s="5"/>
      <c r="AF133" s="5"/>
      <c r="AG133" s="5"/>
      <c r="AH133" s="5"/>
      <c r="AI133" s="5"/>
      <c r="AJ133" s="166"/>
      <c r="AK133" s="5"/>
    </row>
    <row r="134" spans="1:37" ht="14.25" customHeight="1">
      <c r="A134" s="5"/>
      <c r="B134" s="5"/>
      <c r="C134" s="5"/>
      <c r="D134" s="2"/>
      <c r="E134" s="5"/>
      <c r="F134" s="5"/>
      <c r="G134" s="5"/>
      <c r="H134" s="5"/>
      <c r="I134" s="5"/>
      <c r="J134" s="5"/>
      <c r="K134" s="5"/>
      <c r="L134" s="5"/>
      <c r="M134" s="165"/>
      <c r="N134" s="5"/>
      <c r="O134" s="5"/>
      <c r="P134" s="5"/>
      <c r="Q134" s="5"/>
      <c r="R134" s="165"/>
      <c r="S134" s="5"/>
      <c r="T134" s="5"/>
      <c r="U134" s="5"/>
      <c r="V134" s="5"/>
      <c r="W134" s="5"/>
      <c r="X134" s="5"/>
      <c r="Y134" s="165"/>
      <c r="Z134" s="5"/>
      <c r="AA134" s="5"/>
      <c r="AB134" s="71"/>
      <c r="AC134" s="5"/>
      <c r="AD134" s="5"/>
      <c r="AE134" s="5"/>
      <c r="AF134" s="5"/>
      <c r="AG134" s="5"/>
      <c r="AH134" s="5"/>
      <c r="AI134" s="5"/>
      <c r="AJ134" s="166"/>
      <c r="AK134" s="5"/>
    </row>
    <row r="135" spans="1:37" ht="14.25" customHeight="1">
      <c r="A135" s="5"/>
      <c r="B135" s="5"/>
      <c r="C135" s="5"/>
      <c r="D135" s="2"/>
      <c r="E135" s="5"/>
      <c r="F135" s="5"/>
      <c r="G135" s="5"/>
      <c r="H135" s="5"/>
      <c r="I135" s="5"/>
      <c r="J135" s="5"/>
      <c r="K135" s="5"/>
      <c r="L135" s="5"/>
      <c r="M135" s="165"/>
      <c r="N135" s="5"/>
      <c r="O135" s="5"/>
      <c r="P135" s="5"/>
      <c r="Q135" s="5"/>
      <c r="R135" s="165"/>
      <c r="S135" s="5"/>
      <c r="T135" s="5"/>
      <c r="U135" s="5"/>
      <c r="V135" s="5"/>
      <c r="W135" s="5"/>
      <c r="X135" s="5"/>
      <c r="Y135" s="165"/>
      <c r="Z135" s="5"/>
      <c r="AA135" s="5"/>
      <c r="AB135" s="71"/>
      <c r="AC135" s="5"/>
      <c r="AD135" s="5"/>
      <c r="AE135" s="5"/>
      <c r="AF135" s="5"/>
      <c r="AG135" s="5"/>
      <c r="AH135" s="5"/>
      <c r="AI135" s="5"/>
      <c r="AJ135" s="166"/>
      <c r="AK135" s="5"/>
    </row>
    <row r="136" spans="1:37" ht="14.25" customHeight="1">
      <c r="A136" s="5"/>
      <c r="B136" s="5"/>
      <c r="C136" s="5"/>
      <c r="D136" s="2"/>
      <c r="E136" s="5"/>
      <c r="F136" s="5"/>
      <c r="G136" s="5"/>
      <c r="H136" s="5"/>
      <c r="I136" s="5"/>
      <c r="J136" s="5"/>
      <c r="K136" s="5"/>
      <c r="L136" s="5"/>
      <c r="M136" s="165"/>
      <c r="N136" s="5"/>
      <c r="O136" s="5"/>
      <c r="P136" s="5"/>
      <c r="Q136" s="5"/>
      <c r="R136" s="165"/>
      <c r="S136" s="5"/>
      <c r="T136" s="5"/>
      <c r="U136" s="5"/>
      <c r="V136" s="5"/>
      <c r="W136" s="5"/>
      <c r="X136" s="5"/>
      <c r="Y136" s="165"/>
      <c r="Z136" s="5"/>
      <c r="AA136" s="5"/>
      <c r="AB136" s="71"/>
      <c r="AC136" s="5"/>
      <c r="AD136" s="5"/>
      <c r="AE136" s="5"/>
      <c r="AF136" s="5"/>
      <c r="AG136" s="5"/>
      <c r="AH136" s="5"/>
      <c r="AI136" s="5"/>
      <c r="AJ136" s="166"/>
      <c r="AK136" s="5"/>
    </row>
    <row r="137" spans="1:37" ht="14.25" customHeight="1">
      <c r="A137" s="5"/>
      <c r="B137" s="5"/>
      <c r="C137" s="5"/>
      <c r="D137" s="2"/>
      <c r="E137" s="5"/>
      <c r="F137" s="5"/>
      <c r="G137" s="5"/>
      <c r="H137" s="5"/>
      <c r="I137" s="5"/>
      <c r="J137" s="5"/>
      <c r="K137" s="5"/>
      <c r="L137" s="5"/>
      <c r="M137" s="165"/>
      <c r="N137" s="5"/>
      <c r="O137" s="5"/>
      <c r="P137" s="5"/>
      <c r="Q137" s="5"/>
      <c r="R137" s="165"/>
      <c r="S137" s="5"/>
      <c r="T137" s="5"/>
      <c r="U137" s="5"/>
      <c r="V137" s="5"/>
      <c r="W137" s="5"/>
      <c r="X137" s="5"/>
      <c r="Y137" s="165"/>
      <c r="Z137" s="5"/>
      <c r="AA137" s="5"/>
      <c r="AB137" s="71"/>
      <c r="AC137" s="5"/>
      <c r="AD137" s="5"/>
      <c r="AE137" s="5"/>
      <c r="AF137" s="5"/>
      <c r="AG137" s="5"/>
      <c r="AH137" s="5"/>
      <c r="AI137" s="5"/>
      <c r="AJ137" s="166"/>
      <c r="AK137" s="5"/>
    </row>
    <row r="138" spans="1:37" ht="14.25" customHeight="1">
      <c r="A138" s="5"/>
      <c r="B138" s="5"/>
      <c r="C138" s="5"/>
      <c r="D138" s="2"/>
      <c r="E138" s="5"/>
      <c r="F138" s="5"/>
      <c r="G138" s="5"/>
      <c r="H138" s="5"/>
      <c r="I138" s="5"/>
      <c r="J138" s="5"/>
      <c r="K138" s="5"/>
      <c r="L138" s="5"/>
      <c r="M138" s="165"/>
      <c r="N138" s="5"/>
      <c r="O138" s="5"/>
      <c r="P138" s="5"/>
      <c r="Q138" s="5"/>
      <c r="R138" s="165"/>
      <c r="S138" s="5"/>
      <c r="T138" s="5"/>
      <c r="U138" s="5"/>
      <c r="V138" s="5"/>
      <c r="W138" s="5"/>
      <c r="X138" s="5"/>
      <c r="Y138" s="165"/>
      <c r="Z138" s="5"/>
      <c r="AA138" s="5"/>
      <c r="AB138" s="71"/>
      <c r="AC138" s="5"/>
      <c r="AD138" s="5"/>
      <c r="AE138" s="5"/>
      <c r="AF138" s="5"/>
      <c r="AG138" s="5"/>
      <c r="AH138" s="5"/>
      <c r="AI138" s="5"/>
      <c r="AJ138" s="166"/>
      <c r="AK138" s="5"/>
    </row>
    <row r="139" spans="1:37" ht="14.25" customHeight="1">
      <c r="A139" s="5"/>
      <c r="B139" s="5"/>
      <c r="C139" s="5"/>
      <c r="D139" s="2"/>
      <c r="E139" s="5"/>
      <c r="F139" s="5"/>
      <c r="G139" s="5"/>
      <c r="H139" s="5"/>
      <c r="I139" s="5"/>
      <c r="J139" s="5"/>
      <c r="K139" s="5"/>
      <c r="L139" s="5"/>
      <c r="M139" s="165"/>
      <c r="N139" s="5"/>
      <c r="O139" s="5"/>
      <c r="P139" s="5"/>
      <c r="Q139" s="5"/>
      <c r="R139" s="165"/>
      <c r="S139" s="5"/>
      <c r="T139" s="5"/>
      <c r="U139" s="5"/>
      <c r="V139" s="5"/>
      <c r="W139" s="5"/>
      <c r="X139" s="5"/>
      <c r="Y139" s="165"/>
      <c r="Z139" s="5"/>
      <c r="AA139" s="5"/>
      <c r="AB139" s="71"/>
      <c r="AC139" s="5"/>
      <c r="AD139" s="5"/>
      <c r="AE139" s="5"/>
      <c r="AF139" s="5"/>
      <c r="AG139" s="5"/>
      <c r="AH139" s="5"/>
      <c r="AI139" s="5"/>
      <c r="AJ139" s="166"/>
      <c r="AK139" s="5"/>
    </row>
    <row r="140" spans="1:37" ht="14.25" customHeight="1">
      <c r="A140" s="5"/>
      <c r="B140" s="5"/>
      <c r="C140" s="5"/>
      <c r="D140" s="2"/>
      <c r="E140" s="5"/>
      <c r="F140" s="5"/>
      <c r="G140" s="5"/>
      <c r="H140" s="5"/>
      <c r="I140" s="5"/>
      <c r="J140" s="5"/>
      <c r="K140" s="5"/>
      <c r="L140" s="5"/>
      <c r="M140" s="165"/>
      <c r="N140" s="5"/>
      <c r="O140" s="5"/>
      <c r="P140" s="5"/>
      <c r="Q140" s="5"/>
      <c r="R140" s="165"/>
      <c r="S140" s="5"/>
      <c r="T140" s="5"/>
      <c r="U140" s="5"/>
      <c r="V140" s="5"/>
      <c r="W140" s="5"/>
      <c r="X140" s="5"/>
      <c r="Y140" s="165"/>
      <c r="Z140" s="5"/>
      <c r="AA140" s="5"/>
      <c r="AB140" s="71"/>
      <c r="AC140" s="5"/>
      <c r="AD140" s="5"/>
      <c r="AE140" s="5"/>
      <c r="AF140" s="5"/>
      <c r="AG140" s="5"/>
      <c r="AH140" s="5"/>
      <c r="AI140" s="5"/>
      <c r="AJ140" s="166"/>
      <c r="AK140" s="5"/>
    </row>
    <row r="141" spans="1:37" ht="14.25" customHeight="1">
      <c r="A141" s="5"/>
      <c r="B141" s="5"/>
      <c r="C141" s="5"/>
      <c r="D141" s="2"/>
      <c r="E141" s="5"/>
      <c r="F141" s="5"/>
      <c r="G141" s="5"/>
      <c r="H141" s="5"/>
      <c r="I141" s="5"/>
      <c r="J141" s="5"/>
      <c r="K141" s="5"/>
      <c r="L141" s="5"/>
      <c r="M141" s="165"/>
      <c r="N141" s="5"/>
      <c r="O141" s="5"/>
      <c r="P141" s="5"/>
      <c r="Q141" s="5"/>
      <c r="R141" s="165"/>
      <c r="S141" s="5"/>
      <c r="T141" s="5"/>
      <c r="U141" s="5"/>
      <c r="V141" s="5"/>
      <c r="W141" s="5"/>
      <c r="X141" s="5"/>
      <c r="Y141" s="165"/>
      <c r="Z141" s="5"/>
      <c r="AA141" s="5"/>
      <c r="AB141" s="71"/>
      <c r="AC141" s="5"/>
      <c r="AD141" s="5"/>
      <c r="AE141" s="5"/>
      <c r="AF141" s="5"/>
      <c r="AG141" s="5"/>
      <c r="AH141" s="5"/>
      <c r="AI141" s="5"/>
      <c r="AJ141" s="166"/>
      <c r="AK141" s="5"/>
    </row>
    <row r="142" spans="1:37" ht="14.25" customHeight="1">
      <c r="A142" s="5"/>
      <c r="B142" s="5"/>
      <c r="C142" s="5"/>
      <c r="D142" s="2"/>
      <c r="E142" s="5"/>
      <c r="F142" s="5"/>
      <c r="G142" s="5"/>
      <c r="H142" s="5"/>
      <c r="I142" s="5"/>
      <c r="J142" s="5"/>
      <c r="K142" s="5"/>
      <c r="L142" s="5"/>
      <c r="M142" s="165"/>
      <c r="N142" s="5"/>
      <c r="O142" s="5"/>
      <c r="P142" s="5"/>
      <c r="Q142" s="5"/>
      <c r="R142" s="165"/>
      <c r="S142" s="5"/>
      <c r="T142" s="5"/>
      <c r="U142" s="5"/>
      <c r="V142" s="5"/>
      <c r="W142" s="5"/>
      <c r="X142" s="5"/>
      <c r="Y142" s="165"/>
      <c r="Z142" s="5"/>
      <c r="AA142" s="5"/>
      <c r="AB142" s="71"/>
      <c r="AC142" s="5"/>
      <c r="AD142" s="5"/>
      <c r="AE142" s="5"/>
      <c r="AF142" s="5"/>
      <c r="AG142" s="5"/>
      <c r="AH142" s="5"/>
      <c r="AI142" s="5"/>
      <c r="AJ142" s="166"/>
      <c r="AK142" s="5"/>
    </row>
    <row r="143" spans="1:37" ht="14.25" customHeight="1">
      <c r="A143" s="5"/>
      <c r="B143" s="5"/>
      <c r="C143" s="5"/>
      <c r="D143" s="2"/>
      <c r="E143" s="5"/>
      <c r="F143" s="5"/>
      <c r="G143" s="5"/>
      <c r="H143" s="5"/>
      <c r="I143" s="5"/>
      <c r="J143" s="5"/>
      <c r="K143" s="5"/>
      <c r="L143" s="5"/>
      <c r="M143" s="165"/>
      <c r="N143" s="5"/>
      <c r="O143" s="5"/>
      <c r="P143" s="5"/>
      <c r="Q143" s="5"/>
      <c r="R143" s="165"/>
      <c r="S143" s="5"/>
      <c r="T143" s="5"/>
      <c r="U143" s="5"/>
      <c r="V143" s="5"/>
      <c r="W143" s="5"/>
      <c r="X143" s="5"/>
      <c r="Y143" s="165"/>
      <c r="Z143" s="5"/>
      <c r="AA143" s="5"/>
      <c r="AB143" s="71"/>
      <c r="AC143" s="5"/>
      <c r="AD143" s="5"/>
      <c r="AE143" s="5"/>
      <c r="AF143" s="5"/>
      <c r="AG143" s="5"/>
      <c r="AH143" s="5"/>
      <c r="AI143" s="5"/>
      <c r="AJ143" s="166"/>
      <c r="AK143" s="5"/>
    </row>
    <row r="144" spans="1:37" ht="14.25" customHeight="1">
      <c r="A144" s="5"/>
      <c r="B144" s="5"/>
      <c r="C144" s="5"/>
      <c r="D144" s="2"/>
      <c r="E144" s="5"/>
      <c r="F144" s="5"/>
      <c r="G144" s="5"/>
      <c r="H144" s="5"/>
      <c r="I144" s="5"/>
      <c r="J144" s="5"/>
      <c r="K144" s="5"/>
      <c r="L144" s="5"/>
      <c r="M144" s="165"/>
      <c r="N144" s="5"/>
      <c r="O144" s="5"/>
      <c r="P144" s="5"/>
      <c r="Q144" s="5"/>
      <c r="R144" s="165"/>
      <c r="S144" s="5"/>
      <c r="T144" s="5"/>
      <c r="U144" s="5"/>
      <c r="V144" s="5"/>
      <c r="W144" s="5"/>
      <c r="X144" s="5"/>
      <c r="Y144" s="165"/>
      <c r="Z144" s="5"/>
      <c r="AA144" s="5"/>
      <c r="AB144" s="71"/>
      <c r="AC144" s="5"/>
      <c r="AD144" s="5"/>
      <c r="AE144" s="5"/>
      <c r="AF144" s="5"/>
      <c r="AG144" s="5"/>
      <c r="AH144" s="5"/>
      <c r="AI144" s="5"/>
      <c r="AJ144" s="166"/>
      <c r="AK144" s="5"/>
    </row>
    <row r="145" spans="1:37" ht="14.25" customHeight="1">
      <c r="A145" s="5"/>
      <c r="B145" s="5"/>
      <c r="C145" s="5"/>
      <c r="D145" s="2"/>
      <c r="E145" s="5"/>
      <c r="F145" s="5"/>
      <c r="G145" s="5"/>
      <c r="H145" s="5"/>
      <c r="I145" s="5"/>
      <c r="J145" s="5"/>
      <c r="K145" s="5"/>
      <c r="L145" s="5"/>
      <c r="M145" s="165"/>
      <c r="N145" s="5"/>
      <c r="O145" s="5"/>
      <c r="P145" s="5"/>
      <c r="Q145" s="5"/>
      <c r="R145" s="165"/>
      <c r="S145" s="5"/>
      <c r="T145" s="5"/>
      <c r="U145" s="5"/>
      <c r="V145" s="5"/>
      <c r="W145" s="5"/>
      <c r="X145" s="5"/>
      <c r="Y145" s="165"/>
      <c r="Z145" s="5"/>
      <c r="AA145" s="5"/>
      <c r="AB145" s="71"/>
      <c r="AC145" s="5"/>
      <c r="AD145" s="5"/>
      <c r="AE145" s="5"/>
      <c r="AF145" s="5"/>
      <c r="AG145" s="5"/>
      <c r="AH145" s="5"/>
      <c r="AI145" s="5"/>
      <c r="AJ145" s="166"/>
      <c r="AK145" s="5"/>
    </row>
    <row r="146" spans="1:37" ht="14.25" customHeight="1">
      <c r="A146" s="5"/>
      <c r="B146" s="5"/>
      <c r="C146" s="5"/>
      <c r="D146" s="2"/>
      <c r="E146" s="5"/>
      <c r="F146" s="5"/>
      <c r="G146" s="5"/>
      <c r="H146" s="5"/>
      <c r="I146" s="5"/>
      <c r="J146" s="5"/>
      <c r="K146" s="5"/>
      <c r="L146" s="5"/>
      <c r="M146" s="165"/>
      <c r="N146" s="5"/>
      <c r="O146" s="5"/>
      <c r="P146" s="5"/>
      <c r="Q146" s="5"/>
      <c r="R146" s="165"/>
      <c r="S146" s="5"/>
      <c r="T146" s="5"/>
      <c r="U146" s="5"/>
      <c r="V146" s="5"/>
      <c r="W146" s="5"/>
      <c r="X146" s="5"/>
      <c r="Y146" s="165"/>
      <c r="Z146" s="5"/>
      <c r="AA146" s="5"/>
      <c r="AB146" s="71"/>
      <c r="AC146" s="5"/>
      <c r="AD146" s="5"/>
      <c r="AE146" s="5"/>
      <c r="AF146" s="5"/>
      <c r="AG146" s="5"/>
      <c r="AH146" s="5"/>
      <c r="AI146" s="5"/>
      <c r="AJ146" s="166"/>
      <c r="AK146" s="5"/>
    </row>
    <row r="147" spans="1:37" ht="14.25" customHeight="1">
      <c r="A147" s="5"/>
      <c r="B147" s="5"/>
      <c r="C147" s="5"/>
      <c r="D147" s="2"/>
      <c r="E147" s="5"/>
      <c r="F147" s="5"/>
      <c r="G147" s="5"/>
      <c r="H147" s="5"/>
      <c r="I147" s="5"/>
      <c r="J147" s="5"/>
      <c r="K147" s="5"/>
      <c r="L147" s="5"/>
      <c r="M147" s="165"/>
      <c r="N147" s="5"/>
      <c r="O147" s="5"/>
      <c r="P147" s="5"/>
      <c r="Q147" s="5"/>
      <c r="R147" s="165"/>
      <c r="S147" s="5"/>
      <c r="T147" s="5"/>
      <c r="U147" s="5"/>
      <c r="V147" s="5"/>
      <c r="W147" s="5"/>
      <c r="X147" s="5"/>
      <c r="Y147" s="165"/>
      <c r="Z147" s="5"/>
      <c r="AA147" s="5"/>
      <c r="AB147" s="71"/>
      <c r="AC147" s="5"/>
      <c r="AD147" s="5"/>
      <c r="AE147" s="5"/>
      <c r="AF147" s="5"/>
      <c r="AG147" s="5"/>
      <c r="AH147" s="5"/>
      <c r="AI147" s="5"/>
      <c r="AJ147" s="166"/>
      <c r="AK147" s="5"/>
    </row>
    <row r="148" spans="1:37" ht="14.25" customHeight="1">
      <c r="A148" s="5"/>
      <c r="B148" s="5"/>
      <c r="C148" s="5"/>
      <c r="D148" s="2"/>
      <c r="E148" s="5"/>
      <c r="F148" s="5"/>
      <c r="G148" s="5"/>
      <c r="H148" s="5"/>
      <c r="I148" s="5"/>
      <c r="J148" s="5"/>
      <c r="K148" s="5"/>
      <c r="L148" s="5"/>
      <c r="M148" s="165"/>
      <c r="N148" s="5"/>
      <c r="O148" s="5"/>
      <c r="P148" s="5"/>
      <c r="Q148" s="5"/>
      <c r="R148" s="165"/>
      <c r="S148" s="5"/>
      <c r="T148" s="5"/>
      <c r="U148" s="5"/>
      <c r="V148" s="5"/>
      <c r="W148" s="5"/>
      <c r="X148" s="5"/>
      <c r="Y148" s="165"/>
      <c r="Z148" s="5"/>
      <c r="AA148" s="5"/>
      <c r="AB148" s="71"/>
      <c r="AC148" s="5"/>
      <c r="AD148" s="5"/>
      <c r="AE148" s="5"/>
      <c r="AF148" s="5"/>
      <c r="AG148" s="5"/>
      <c r="AH148" s="5"/>
      <c r="AI148" s="5"/>
      <c r="AJ148" s="166"/>
      <c r="AK148" s="5"/>
    </row>
    <row r="149" spans="1:37" ht="14.25" customHeight="1">
      <c r="A149" s="5"/>
      <c r="B149" s="5"/>
      <c r="C149" s="5"/>
      <c r="D149" s="2"/>
      <c r="E149" s="5"/>
      <c r="F149" s="5"/>
      <c r="G149" s="5"/>
      <c r="H149" s="5"/>
      <c r="I149" s="5"/>
      <c r="J149" s="5"/>
      <c r="K149" s="5"/>
      <c r="L149" s="5"/>
      <c r="M149" s="165"/>
      <c r="N149" s="5"/>
      <c r="O149" s="5"/>
      <c r="P149" s="5"/>
      <c r="Q149" s="5"/>
      <c r="R149" s="165"/>
      <c r="S149" s="5"/>
      <c r="T149" s="5"/>
      <c r="U149" s="5"/>
      <c r="V149" s="5"/>
      <c r="W149" s="5"/>
      <c r="X149" s="5"/>
      <c r="Y149" s="165"/>
      <c r="Z149" s="5"/>
      <c r="AA149" s="5"/>
      <c r="AB149" s="71"/>
      <c r="AC149" s="5"/>
      <c r="AD149" s="5"/>
      <c r="AE149" s="5"/>
      <c r="AF149" s="5"/>
      <c r="AG149" s="5"/>
      <c r="AH149" s="5"/>
      <c r="AI149" s="5"/>
      <c r="AJ149" s="166"/>
      <c r="AK149" s="5"/>
    </row>
    <row r="150" spans="1:37" ht="14.25" customHeight="1">
      <c r="A150" s="5"/>
      <c r="B150" s="5"/>
      <c r="C150" s="5"/>
      <c r="D150" s="2"/>
      <c r="E150" s="5"/>
      <c r="F150" s="5"/>
      <c r="G150" s="5"/>
      <c r="H150" s="5"/>
      <c r="I150" s="5"/>
      <c r="J150" s="5"/>
      <c r="K150" s="5"/>
      <c r="L150" s="5"/>
      <c r="M150" s="165"/>
      <c r="N150" s="5"/>
      <c r="O150" s="5"/>
      <c r="P150" s="5"/>
      <c r="Q150" s="5"/>
      <c r="R150" s="165"/>
      <c r="S150" s="5"/>
      <c r="T150" s="5"/>
      <c r="U150" s="5"/>
      <c r="V150" s="5"/>
      <c r="W150" s="5"/>
      <c r="X150" s="5"/>
      <c r="Y150" s="165"/>
      <c r="Z150" s="5"/>
      <c r="AA150" s="5"/>
      <c r="AB150" s="71"/>
      <c r="AC150" s="5"/>
      <c r="AD150" s="5"/>
      <c r="AE150" s="5"/>
      <c r="AF150" s="5"/>
      <c r="AG150" s="5"/>
      <c r="AH150" s="5"/>
      <c r="AI150" s="5"/>
      <c r="AJ150" s="166"/>
      <c r="AK150" s="5"/>
    </row>
  </sheetData>
  <mergeCells count="8">
    <mergeCell ref="A82:AK82"/>
    <mergeCell ref="A2:AH2"/>
    <mergeCell ref="A1:AH1"/>
    <mergeCell ref="AE5:AF5"/>
    <mergeCell ref="AG5:AH5"/>
    <mergeCell ref="A3:AH3"/>
    <mergeCell ref="U5:AD5"/>
    <mergeCell ref="B5:T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VEHICULOS</vt:lpstr>
      <vt:lpstr>INVENTARIO CAJA 1</vt:lpstr>
      <vt:lpstr>CARATULA DE EXPEDIENTE</vt:lpstr>
      <vt:lpstr>ETIQUETA DE CAJA</vt:lpstr>
      <vt:lpstr>INDICE DE F.A</vt:lpstr>
      <vt:lpstr>DATOS</vt:lpstr>
      <vt:lpstr>MOTOCICLETAS</vt:lpstr>
      <vt:lpstr>'INVENTARIO CAJA 1'!Títulos_a_imprimir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Ares</dc:creator>
  <cp:lastModifiedBy>santo domingo tsachilas</cp:lastModifiedBy>
  <cp:revision>0</cp:revision>
  <cp:lastPrinted>2026-08-07T14:00:49Z</cp:lastPrinted>
  <dcterms:created xsi:type="dcterms:W3CDTF">2019-06-11T14:19:51Z</dcterms:created>
  <dcterms:modified xsi:type="dcterms:W3CDTF">2026-09-11T21:37:39Z</dcterms:modified>
  <dc:language>en-US</dc:language>
</cp:coreProperties>
</file>